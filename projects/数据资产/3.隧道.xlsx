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<sst xmlns="http://schemas.openxmlformats.org/spreadsheetml/2006/main" count="119" uniqueCount="58">
  <si>
    <t>隧道唯一编码</t>
  </si>
  <si>
    <t>隧道名称</t>
  </si>
  <si>
    <t>所属路线编号及名称</t>
  </si>
  <si>
    <t>隧道长度（米）</t>
  </si>
  <si>
    <t>隧道净高/净宽（米）</t>
  </si>
  <si>
    <t>洞口形式</t>
  </si>
  <si>
    <t>断面形式</t>
  </si>
  <si>
    <t>衬砌材料</t>
  </si>
  <si>
    <t>隧道分类</t>
  </si>
  <si>
    <t>里程桩号（起点/终点）</t>
  </si>
  <si>
    <t>经纬度坐标</t>
  </si>
  <si>
    <t>所在方向</t>
  </si>
  <si>
    <t>管理/管养单位</t>
  </si>
  <si>
    <t>监管单位</t>
  </si>
  <si>
    <t>修建年月/通车时间</t>
  </si>
  <si>
    <t>资产的全局唯一标识，遵循行业编码规范</t>
  </si>
  <si>
    <t>隧道的官方名称（如“阳宗隧道”）</t>
  </si>
  <si>
    <t>如“G78 昆石高速”</t>
  </si>
  <si>
    <t>隧道的总长度，用于分类及管理</t>
  </si>
  <si>
    <t>隧道内部的有效通行空间尺寸</t>
  </si>
  <si>
    <t>端墙式、削竹式、半明洞式等</t>
  </si>
  <si>
    <t>直墙拱顶、曲墙圆拱、矩形等</t>
  </si>
  <si>
    <t>钢筋混凝土、预应力混凝土、喷锚等</t>
  </si>
  <si>
    <t>按长度分短隧道（≤500m）、中隧道（500-1000m）、长隧道（1000-3000m）、特长隧道（≥3000m）；按地理位置分山岭隧道、水下隧道、城市隧道</t>
  </si>
  <si>
    <t>隧道入口和出口的精确桩号</t>
  </si>
  <si>
    <t>隧道洞口或中心的CGCS2000坐标系坐标，用于GIS精准定位</t>
  </si>
  <si>
    <t>上行方向或下行方向</t>
  </si>
  <si>
    <t>负责日常运营和维护的单位全称</t>
  </si>
  <si>
    <t>行业监管单位名称</t>
  </si>
  <si>
    <t>隧道建成并投入运营的日期</t>
  </si>
  <si>
    <t>阳宗隧道</t>
  </si>
  <si>
    <t>G78 昆石高速</t>
  </si>
  <si>
    <t>有效净宽13.75m，有效净高5m</t>
  </si>
  <si>
    <t>石林端端墙式，昆明端削竹式</t>
  </si>
  <si>
    <t>曲墙圆拱</t>
  </si>
  <si>
    <t>复合式衬砌</t>
  </si>
  <si>
    <t>长隧道（1000-3000m）</t>
  </si>
  <si>
    <t>K1812+459-K1815+251</t>
  </si>
  <si>
    <t>103.0402, 24.871619</t>
  </si>
  <si>
    <t>上行线</t>
  </si>
  <si>
    <t>云南交投昆明分公司呈贡运营中心</t>
  </si>
  <si>
    <t>K1815+262-K1812+535</t>
  </si>
  <si>
    <t>下行线</t>
  </si>
  <si>
    <t>小团山隧道</t>
  </si>
  <si>
    <t>端墙式</t>
  </si>
  <si>
    <t>K1834+232-K1835+351.84</t>
  </si>
  <si>
    <t>102.882555, 24.938687</t>
  </si>
  <si>
    <t>K1835+347-K1834+163</t>
  </si>
  <si>
    <t>清水沟1号隧道</t>
  </si>
  <si>
    <t>短隧道（≤500m）</t>
  </si>
  <si>
    <t>K1806+883-K1807+266</t>
  </si>
  <si>
    <t>103.078441, 24.89814</t>
  </si>
  <si>
    <t>K1807+250-K1806+867</t>
  </si>
  <si>
    <t>清水沟2号隧道</t>
  </si>
  <si>
    <t>K1805+277-K1805+542</t>
  </si>
  <si>
    <t>103.089542, 24.91065</t>
  </si>
  <si>
    <t>K1805+536-K1805+271</t>
  </si>
  <si>
    <t>注：1.表格为基础信息，若有其他资产数据可增加；
2.若管养单位已有资产表格，可直接提供。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</si>
</sst>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rgb="FF0F1115"/>
      <name val="宋体"/>
      <charset val="134"/>
    </font>
    <font>
      <sz val="9"/>
      <color rgb="FFFF0000"/>
      <name val="宋体"/>
      <charset val="134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3" borderId="0">
      <alignment vertical="center"/>
    </xf>
    <xf numFmtId="0" fontId="7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5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9" fillId="7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8" borderId="3">
      <alignment vertical="center"/>
    </xf>
    <xf numFmtId="0" fontId="9" fillId="9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9" fillId="10" borderId="0">
      <alignment vertical="center"/>
    </xf>
    <xf numFmtId="0" fontId="12" fillId="0" borderId="5">
      <alignment vertical="center"/>
    </xf>
    <xf numFmtId="0" fontId="9" fillId="11" borderId="0">
      <alignment vertical="center"/>
    </xf>
    <xf numFmtId="0" fontId="18" fillId="12" borderId="6">
      <alignment vertical="center"/>
    </xf>
    <xf numFmtId="0" fontId="19" fillId="12" borderId="2">
      <alignment vertical="center"/>
    </xf>
    <xf numFmtId="0" fontId="20" fillId="13" borderId="7">
      <alignment vertical="center"/>
    </xf>
    <xf numFmtId="0" fontId="6" fillId="14" borderId="0">
      <alignment vertical="center"/>
    </xf>
    <xf numFmtId="0" fontId="9" fillId="15" borderId="0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6" fillId="18" borderId="0">
      <alignment vertical="center"/>
    </xf>
    <xf numFmtId="0" fontId="9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9" fillId="24" borderId="0">
      <alignment vertical="center"/>
    </xf>
    <xf numFmtId="0" fontId="9" fillId="25" borderId="0">
      <alignment vertical="center"/>
    </xf>
    <xf numFmtId="0" fontId="6" fillId="26" borderId="0">
      <alignment vertical="center"/>
    </xf>
    <xf numFmtId="0" fontId="6" fillId="27" borderId="0">
      <alignment vertical="center"/>
    </xf>
    <xf numFmtId="0" fontId="9" fillId="28" borderId="0">
      <alignment vertical="center"/>
    </xf>
    <xf numFmtId="0" fontId="6" fillId="29" borderId="0">
      <alignment vertical="center"/>
    </xf>
    <xf numFmtId="0" fontId="9" fillId="30" borderId="0">
      <alignment vertical="center"/>
    </xf>
    <xf numFmtId="0" fontId="9" fillId="31" borderId="0">
      <alignment vertical="center"/>
    </xf>
    <xf numFmtId="0" fontId="6" fillId="32" borderId="0">
      <alignment vertical="center"/>
    </xf>
    <xf numFmtId="0" fontId="9" fillId="33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57" fontId="5" fillId="0" borderId="1" xfId="0" applyNumberFormat="1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zoomScale="145" zoomScaleNormal="145" topLeftCell="E1" workbookViewId="0">
      <selection activeCell="K3" sqref="K3"/>
    </sheetView>
  </sheetViews>
  <sheetFormatPr defaultColWidth="9" defaultRowHeight="13.5"/>
  <cols>
    <col min="1" max="1" width="12.0916666666667" customWidth="1"/>
    <col min="2" max="2" width="15.1833333333333" customWidth="1"/>
    <col min="3" max="3" width="12.0916666666667" customWidth="1"/>
    <col min="4" max="4" width="8.81666666666667" style="3" customWidth="1"/>
    <col min="9" max="9" width="23" customWidth="1"/>
    <col min="10" max="10" width="12.725" customWidth="1"/>
    <col min="11" max="11" width="15.725" customWidth="1"/>
    <col min="13" max="13" width="11.9083333333333" customWidth="1"/>
  </cols>
  <sheetData>
    <row r="1" s="1" customFormat="1" ht="22.5" spans="1:1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2" customFormat="1" ht="56.25" spans="1:15">
      <c r="A2" s="6" t="s">
        <v>15</v>
      </c>
      <c r="B2" s="6" t="s">
        <v>16</v>
      </c>
      <c r="C2" s="6" t="s">
        <v>17</v>
      </c>
      <c r="D2" s="7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</row>
    <row r="3" ht="33.75" spans="1:15">
      <c r="A3" s="8"/>
      <c r="B3" s="8" t="s">
        <v>30</v>
      </c>
      <c r="C3" s="8" t="s">
        <v>31</v>
      </c>
      <c r="D3" s="9">
        <v>2792</v>
      </c>
      <c r="E3" s="10" t="s">
        <v>32</v>
      </c>
      <c r="F3" s="10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/>
      <c r="O3" s="16">
        <v>37926</v>
      </c>
    </row>
    <row r="4" ht="33.75" spans="1:15">
      <c r="A4" s="8"/>
      <c r="B4" s="8" t="s">
        <v>30</v>
      </c>
      <c r="C4" s="8" t="s">
        <v>31</v>
      </c>
      <c r="D4" s="9">
        <v>2727</v>
      </c>
      <c r="E4" s="10" t="s">
        <v>32</v>
      </c>
      <c r="F4" s="10" t="s">
        <v>33</v>
      </c>
      <c r="G4" s="8" t="s">
        <v>34</v>
      </c>
      <c r="H4" s="8" t="s">
        <v>35</v>
      </c>
      <c r="I4" s="8" t="s">
        <v>36</v>
      </c>
      <c r="J4" s="8" t="s">
        <v>41</v>
      </c>
      <c r="K4" s="8" t="s">
        <v>38</v>
      </c>
      <c r="L4" s="8" t="s">
        <v>42</v>
      </c>
      <c r="M4" s="8" t="s">
        <v>40</v>
      </c>
      <c r="N4" s="8"/>
      <c r="O4" s="16">
        <v>37926</v>
      </c>
    </row>
    <row r="5" ht="33.75" spans="1:15">
      <c r="A5" s="8"/>
      <c r="B5" s="8" t="s">
        <v>43</v>
      </c>
      <c r="C5" s="8" t="s">
        <v>31</v>
      </c>
      <c r="D5" s="11">
        <v>1119.84</v>
      </c>
      <c r="E5" s="10" t="s">
        <v>32</v>
      </c>
      <c r="F5" s="8" t="s">
        <v>44</v>
      </c>
      <c r="G5" s="8" t="s">
        <v>34</v>
      </c>
      <c r="H5" s="8" t="s">
        <v>35</v>
      </c>
      <c r="I5" s="8" t="s">
        <v>36</v>
      </c>
      <c r="J5" s="8" t="s">
        <v>45</v>
      </c>
      <c r="K5" s="8" t="s">
        <v>46</v>
      </c>
      <c r="L5" s="8" t="s">
        <v>39</v>
      </c>
      <c r="M5" s="8" t="s">
        <v>40</v>
      </c>
      <c r="N5" s="8"/>
      <c r="O5" s="16">
        <v>37926</v>
      </c>
    </row>
    <row r="6" ht="33.75" spans="1:15">
      <c r="A6" s="8"/>
      <c r="B6" s="8" t="s">
        <v>43</v>
      </c>
      <c r="C6" s="8" t="s">
        <v>31</v>
      </c>
      <c r="D6" s="11">
        <v>1184</v>
      </c>
      <c r="E6" s="10" t="s">
        <v>32</v>
      </c>
      <c r="F6" s="8" t="s">
        <v>44</v>
      </c>
      <c r="G6" s="8" t="s">
        <v>34</v>
      </c>
      <c r="H6" s="8" t="s">
        <v>35</v>
      </c>
      <c r="I6" s="8" t="s">
        <v>36</v>
      </c>
      <c r="J6" s="8" t="s">
        <v>47</v>
      </c>
      <c r="K6" s="8" t="s">
        <v>46</v>
      </c>
      <c r="L6" s="8" t="s">
        <v>42</v>
      </c>
      <c r="M6" s="8" t="s">
        <v>40</v>
      </c>
      <c r="N6" s="8"/>
      <c r="O6" s="16">
        <v>37926</v>
      </c>
    </row>
    <row r="7" ht="33.75" spans="1:15">
      <c r="A7" s="8"/>
      <c r="B7" s="8" t="s">
        <v>48</v>
      </c>
      <c r="C7" s="8" t="s">
        <v>31</v>
      </c>
      <c r="D7" s="9">
        <v>383</v>
      </c>
      <c r="E7" s="10" t="s">
        <v>32</v>
      </c>
      <c r="F7" s="8" t="s">
        <v>44</v>
      </c>
      <c r="G7" s="8" t="s">
        <v>34</v>
      </c>
      <c r="H7" s="8" t="s">
        <v>35</v>
      </c>
      <c r="I7" s="8" t="s">
        <v>49</v>
      </c>
      <c r="J7" s="8" t="s">
        <v>50</v>
      </c>
      <c r="K7" s="8" t="s">
        <v>51</v>
      </c>
      <c r="L7" s="8" t="s">
        <v>39</v>
      </c>
      <c r="M7" s="8" t="s">
        <v>40</v>
      </c>
      <c r="N7" s="8"/>
      <c r="O7" s="16">
        <v>37926</v>
      </c>
    </row>
    <row r="8" ht="33.75" spans="1:15">
      <c r="A8" s="8"/>
      <c r="B8" s="8" t="s">
        <v>48</v>
      </c>
      <c r="C8" s="8" t="s">
        <v>31</v>
      </c>
      <c r="D8" s="9">
        <v>383</v>
      </c>
      <c r="E8" s="10" t="s">
        <v>32</v>
      </c>
      <c r="F8" s="8" t="s">
        <v>44</v>
      </c>
      <c r="G8" s="8" t="s">
        <v>34</v>
      </c>
      <c r="H8" s="8" t="s">
        <v>35</v>
      </c>
      <c r="I8" s="8" t="s">
        <v>49</v>
      </c>
      <c r="J8" s="8" t="s">
        <v>52</v>
      </c>
      <c r="K8" s="8" t="s">
        <v>51</v>
      </c>
      <c r="L8" s="8" t="s">
        <v>42</v>
      </c>
      <c r="M8" s="8" t="s">
        <v>40</v>
      </c>
      <c r="N8" s="8"/>
      <c r="O8" s="16">
        <v>37926</v>
      </c>
    </row>
    <row r="9" ht="33.75" spans="1:15">
      <c r="A9" s="8"/>
      <c r="B9" s="8" t="s">
        <v>53</v>
      </c>
      <c r="C9" s="8" t="s">
        <v>31</v>
      </c>
      <c r="D9" s="9">
        <v>265</v>
      </c>
      <c r="E9" s="10" t="s">
        <v>32</v>
      </c>
      <c r="F9" s="8" t="s">
        <v>44</v>
      </c>
      <c r="G9" s="8" t="s">
        <v>34</v>
      </c>
      <c r="H9" s="8" t="s">
        <v>35</v>
      </c>
      <c r="I9" s="8" t="s">
        <v>49</v>
      </c>
      <c r="J9" s="8" t="s">
        <v>54</v>
      </c>
      <c r="K9" s="8" t="s">
        <v>55</v>
      </c>
      <c r="L9" s="8" t="s">
        <v>39</v>
      </c>
      <c r="M9" s="8" t="s">
        <v>40</v>
      </c>
      <c r="N9" s="8"/>
      <c r="O9" s="16">
        <v>37926</v>
      </c>
    </row>
    <row r="10" ht="33.75" spans="1:15">
      <c r="A10" s="8"/>
      <c r="B10" s="8" t="s">
        <v>53</v>
      </c>
      <c r="C10" s="8" t="s">
        <v>31</v>
      </c>
      <c r="D10" s="9">
        <v>265</v>
      </c>
      <c r="E10" s="10" t="s">
        <v>32</v>
      </c>
      <c r="F10" s="8" t="s">
        <v>44</v>
      </c>
      <c r="G10" s="8" t="s">
        <v>34</v>
      </c>
      <c r="H10" s="8" t="s">
        <v>35</v>
      </c>
      <c r="I10" s="8" t="s">
        <v>49</v>
      </c>
      <c r="J10" s="8" t="s">
        <v>56</v>
      </c>
      <c r="K10" s="8" t="s">
        <v>55</v>
      </c>
      <c r="L10" s="8" t="s">
        <v>42</v>
      </c>
      <c r="M10" s="8" t="s">
        <v>40</v>
      </c>
      <c r="N10" s="8"/>
      <c r="O10" s="16">
        <v>37926</v>
      </c>
    </row>
    <row r="11" spans="1:15">
      <c r="A11" s="12"/>
      <c r="B11" s="12"/>
      <c r="C11" s="12"/>
      <c r="D11" s="13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40" customHeight="1" spans="1:15">
      <c r="A12" s="14" t="s">
        <v>57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</sheetData>
  <mergeCells count="1">
    <mergeCell ref="A12:O12"/>
  </mergeCells>
  <dataValidations count="2">
    <dataValidation type="list" allowBlank="1" showInputMessage="1" showErrorMessage="1" sqref="I3 I4 I5 I6 I7 I8 I9 I10:I11">
      <formula1>"短隧道（≤500m）,中隧道（500-1000m）,长隧道（1000-3000m）,特长隧道（≥3000m）"</formula1>
    </dataValidation>
    <dataValidation type="list" allowBlank="1" showInputMessage="1" showErrorMessage="1" sqref="L3 L4 L5 L6 L7 L8 L9 L10 L11">
      <formula1>"上行线,下行线,双洞"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NTKO</cp:lastModifiedBy>
  <dcterms:created xsi:type="dcterms:W3CDTF">2023-05-12T11:15:00Z</dcterms:created>
  <dcterms:modified xsi:type="dcterms:W3CDTF">2026-06-01T06:09:00Z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C5C4BE7102754B4D974A3402E4142A6F_12</vt:lpwstr>
  </property>
  <property fmtid="{D5CDD505-2E9C-101B-9397-08002B2CF9AE}" pid="4" name="CalculationRule">
    <vt:i4>0</vt:i4>
  </property>
</Properties>
</file>