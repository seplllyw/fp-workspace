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tabRatio="917" activeTab="1"/>
  </bookViews>
  <sheets>
    <sheet name="交通标志（表1）" sheetId="1" r:id="rId1"/>
    <sheet name="路基中分带护栏-波形护栏（表2）" sheetId="16" r:id="rId2"/>
    <sheet name="桥梁护栏（表3）" sheetId="18" r:id="rId3"/>
    <sheet name="防眩设施（表4)" sheetId="6" r:id="rId4"/>
    <sheet name="隔离栅和桥梁护网（表5）" sheetId="17" r:id="rId5"/>
    <sheet name="混凝土护栏（表6）" sheetId="8" r:id="rId6"/>
    <sheet name="交通标线（表7）" sheetId="9" r:id="rId7"/>
    <sheet name="轮廓标、里程牌、百米桩（表8）" sheetId="11" r:id="rId8"/>
  </sheets>
  <definedNames>
    <definedName name="_xlnm._FilterDatabase" localSheetId="0" hidden="1">'交通标志（表1）'!$A$1:$P$638</definedName>
    <definedName name="_xlnm._FilterDatabase" localSheetId="1" hidden="1">'路基中分带护栏-波形护栏（表2）'!$A$1:$J$546</definedName>
    <definedName name="_xlnm._FilterDatabase" localSheetId="2" hidden="1">'桥梁护栏（表3）'!$A$1:$L$329</definedName>
    <definedName name="_xlnm.Print_Area" localSheetId="0">'交通标志（表1）'!$A$1:$L$579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<sst xmlns="http://schemas.openxmlformats.org/spreadsheetml/2006/main" count="9813" uniqueCount="1828">
  <si>
    <t>序号</t>
  </si>
  <si>
    <t>里程桩号</t>
  </si>
  <si>
    <t>设置位置</t>
  </si>
  <si>
    <t>标志分类</t>
  </si>
  <si>
    <t>版面内容</t>
  </si>
  <si>
    <t>版面形状</t>
  </si>
  <si>
    <t>版面尺寸cm（按规范要求格式填写）</t>
  </si>
  <si>
    <t>立柱规格尺寸</t>
  </si>
  <si>
    <t>支撑方式</t>
  </si>
  <si>
    <t>投入营运日期/（新增工程填写完工时间）</t>
  </si>
  <si>
    <t>图片编号</t>
  </si>
  <si>
    <t>备   注</t>
  </si>
  <si>
    <t>（一）警告标志：警告车辆、行人注意道路交通的标志；（二）禁令标志：禁止或限制车辆、行人交通行为的标志；（三）指示标志：指示车辆、行人应遵循的标志；（四）指路标志：传递道路方向、地点、距离信息的标志；（五）旅游区标志：提供旅游景点方向、距离的标志；（六）作业区标志：告知道路作业区通行的标志；（七）告示标志：告知路外设施、安全行驶信息以及其他信息的标志</t>
  </si>
  <si>
    <t>下行线</t>
  </si>
  <si>
    <t>指路标志</t>
  </si>
  <si>
    <t>昆石高速管养起点</t>
  </si>
  <si>
    <t>长方形</t>
  </si>
  <si>
    <t>单柱</t>
  </si>
  <si>
    <t>指示标志</t>
  </si>
  <si>
    <t>追尾危险保持车距</t>
  </si>
  <si>
    <t>单悬</t>
  </si>
  <si>
    <t>车距确认前方200M</t>
  </si>
  <si>
    <t>车距确认0M</t>
  </si>
  <si>
    <t>车距确认50M</t>
  </si>
  <si>
    <t>车距确认100M</t>
  </si>
  <si>
    <t>1851+275</t>
  </si>
  <si>
    <t>东三环呈贡新区方向朱家村出口1KM</t>
  </si>
  <si>
    <t>旅游区标志</t>
  </si>
  <si>
    <t>阳宗海度假区40KM石林景区76KM九乡景区76KM</t>
  </si>
  <si>
    <t>禁令标志</t>
  </si>
  <si>
    <t>限速80</t>
  </si>
  <si>
    <t>圆形</t>
  </si>
  <si>
    <t>φ100</t>
  </si>
  <si>
    <t>G8511玉溪普洱景洪2KM</t>
  </si>
  <si>
    <t>东三环呈贡新区方向  朱家村立交出口500M</t>
  </si>
  <si>
    <t>鸣泉村2KM宜良52KM石林76KM</t>
  </si>
  <si>
    <t>双柱</t>
  </si>
  <si>
    <t>东三环呈贡新区方向  朱家村立交出口</t>
  </si>
  <si>
    <t>门架</t>
  </si>
  <si>
    <t>限速100</t>
  </si>
  <si>
    <t>φ120</t>
  </si>
  <si>
    <t>小石坝石安路2KM</t>
  </si>
  <si>
    <t>G8511玉溪普洱景洪1KM</t>
  </si>
  <si>
    <t>小石坝石安路1KM</t>
  </si>
  <si>
    <t>G8511玉溪普洱景洪</t>
  </si>
  <si>
    <t>K1847+650</t>
  </si>
  <si>
    <t>小石坝石安路</t>
  </si>
  <si>
    <t>云南高速滇东南方向</t>
  </si>
  <si>
    <t>限重49T</t>
  </si>
  <si>
    <t>K1847+350</t>
  </si>
  <si>
    <t>货车称重靠右</t>
  </si>
  <si>
    <t>K1847+300</t>
  </si>
  <si>
    <t>K1847+000</t>
  </si>
  <si>
    <t>限重49T轴重14</t>
  </si>
  <si>
    <t>K1846+200</t>
  </si>
  <si>
    <t>小石坝立交</t>
  </si>
  <si>
    <t>530X270</t>
  </si>
  <si>
    <t>小客车限速120</t>
  </si>
  <si>
    <t>φ120+120X60</t>
  </si>
  <si>
    <t>警告标志</t>
  </si>
  <si>
    <t>G78全程监控限速</t>
  </si>
  <si>
    <t>320X80</t>
  </si>
  <si>
    <t>国家高速G78汕昆高速</t>
  </si>
  <si>
    <t>K1845+750</t>
  </si>
  <si>
    <t>其他车限速100</t>
  </si>
  <si>
    <t>圆形/长方形</t>
  </si>
  <si>
    <t>K1845+300</t>
  </si>
  <si>
    <t>龙昇加油站2KM</t>
  </si>
  <si>
    <t>K1844+700</t>
  </si>
  <si>
    <t>告示标志</t>
  </si>
  <si>
    <t>车行千里平安每一步</t>
  </si>
  <si>
    <t>320X270</t>
  </si>
  <si>
    <t>龙昇服务区500M</t>
  </si>
  <si>
    <t>K1841+500</t>
  </si>
  <si>
    <t>G56广卫立交长水机场2KM</t>
  </si>
  <si>
    <t>120+100X60</t>
  </si>
  <si>
    <t>G78汕昆高速兴义方向G80广昆高速文山方向</t>
  </si>
  <si>
    <t>480X390</t>
  </si>
  <si>
    <t>龙昇服务区</t>
  </si>
  <si>
    <t>王家营5KM宜良44KM石林68KM</t>
  </si>
  <si>
    <t>480X430</t>
  </si>
  <si>
    <t>三柱</t>
  </si>
  <si>
    <t>限速标志</t>
  </si>
  <si>
    <t>主城限行标志</t>
  </si>
  <si>
    <t>广卫机场出口500M</t>
  </si>
  <si>
    <t>昆明主城禁止通行</t>
  </si>
  <si>
    <t>昆明长水国际机场</t>
  </si>
  <si>
    <t>广卫立交长水机场</t>
  </si>
  <si>
    <t>紧急停车带</t>
  </si>
  <si>
    <t>135X102</t>
  </si>
  <si>
    <t>152X5</t>
  </si>
  <si>
    <t>合流标志</t>
  </si>
  <si>
    <t>菱形</t>
  </si>
  <si>
    <t>a=80</t>
  </si>
  <si>
    <t>G78汕昆高速G80文山方向</t>
  </si>
  <si>
    <t>125X120X2+135X66</t>
  </si>
  <si>
    <t>120+120X60</t>
  </si>
  <si>
    <t>220X120</t>
  </si>
  <si>
    <t>石龙路王家营2KM</t>
  </si>
  <si>
    <t>240X280</t>
  </si>
  <si>
    <t>果林水库大桥</t>
  </si>
  <si>
    <t>400X200</t>
  </si>
  <si>
    <t>石龙路王家营1KM</t>
  </si>
  <si>
    <t>严禁客车停靠上下乘客（昆石交警）</t>
  </si>
  <si>
    <t>车辆密集谨慎驾驶</t>
  </si>
  <si>
    <t>石龙路王家营500M</t>
  </si>
  <si>
    <t>石龙路王家营</t>
  </si>
  <si>
    <t>澄江呈贡玉溪2KM</t>
  </si>
  <si>
    <t>K1838+250</t>
  </si>
  <si>
    <t>出口限速80</t>
  </si>
  <si>
    <t>K1838+100</t>
  </si>
  <si>
    <t>匝道限速60</t>
  </si>
  <si>
    <t>φ80</t>
  </si>
  <si>
    <t>K1838+000</t>
  </si>
  <si>
    <t>匝道限速40</t>
  </si>
  <si>
    <t>昆明南站</t>
  </si>
  <si>
    <t>小客车限速120其他车限速100</t>
  </si>
  <si>
    <t>加气站前方4KM</t>
  </si>
  <si>
    <t>国道编号G78兴义方向G80文山方向</t>
  </si>
  <si>
    <t>澄江呈贡玉溪1KM</t>
  </si>
  <si>
    <t>AH14</t>
  </si>
  <si>
    <t>G78兴义方向</t>
  </si>
  <si>
    <t>125X120+135X66</t>
  </si>
  <si>
    <t>澄江呈贡玉溪500M</t>
  </si>
  <si>
    <t>慢多雾路段</t>
  </si>
  <si>
    <t>520X270</t>
  </si>
  <si>
    <t>石林嵩明澄江玉溪</t>
  </si>
  <si>
    <t>松茂6KM宜良37KM石林62KM</t>
  </si>
  <si>
    <t>430X480</t>
  </si>
  <si>
    <t>澄江呈贡玉溪</t>
  </si>
  <si>
    <t>G78石林G85嵩明</t>
  </si>
  <si>
    <t>G78石林</t>
  </si>
  <si>
    <t>隧道500M减速慢行</t>
  </si>
  <si>
    <t>360x280</t>
  </si>
  <si>
    <t>九乡旅游区</t>
  </si>
  <si>
    <t>G78石林方向</t>
  </si>
  <si>
    <t>小客车限速110</t>
  </si>
  <si>
    <t>其他车限速90</t>
  </si>
  <si>
    <t>隧道内禁止鸣笛</t>
  </si>
  <si>
    <t>隧道内禁止停车</t>
  </si>
  <si>
    <t>前方长下坡货车加水检查刹车</t>
  </si>
  <si>
    <t>小团山停车区</t>
  </si>
  <si>
    <t>解除限速110</t>
  </si>
  <si>
    <t>解除限速90</t>
  </si>
  <si>
    <t>加气站加水站</t>
  </si>
  <si>
    <t>小团山服务区</t>
  </si>
  <si>
    <t>小车停车区</t>
  </si>
  <si>
    <t>K1833+910</t>
  </si>
  <si>
    <t>φ120+100X60</t>
  </si>
  <si>
    <t>松茂昆明南站2KM</t>
  </si>
  <si>
    <t>三家村特大桥注意横风</t>
  </si>
  <si>
    <t>102X135</t>
  </si>
  <si>
    <t>松茂昆明南站1KM</t>
  </si>
  <si>
    <t>松茂昆明南站500M</t>
  </si>
  <si>
    <t>K1830+750</t>
  </si>
  <si>
    <t>松茂昆明南站</t>
  </si>
  <si>
    <t>K1830+650</t>
  </si>
  <si>
    <t>K1830+550</t>
  </si>
  <si>
    <t>K1830+520</t>
  </si>
  <si>
    <t>K1830+450</t>
  </si>
  <si>
    <t>松茂昆明南站出口1830</t>
  </si>
  <si>
    <t>严禁车道内停车加水车辆请到服务区</t>
  </si>
  <si>
    <t>500X280</t>
  </si>
  <si>
    <t>大型车靠右</t>
  </si>
  <si>
    <t>车道内禁止停车</t>
  </si>
  <si>
    <t>禁止掉头</t>
  </si>
  <si>
    <t>K1829+350</t>
  </si>
  <si>
    <t>阳宗海管委会七甸汤池2KM</t>
  </si>
  <si>
    <t>阳宗10KM宜良30KM石林54KM</t>
  </si>
  <si>
    <t>阳宗海管委会七甸汤池1KM</t>
  </si>
  <si>
    <t>阳宗海管委会七甸汤池500M</t>
  </si>
  <si>
    <t>连续下坡8KM抵挡控速</t>
  </si>
  <si>
    <t>K1827+650</t>
  </si>
  <si>
    <t>附着式</t>
  </si>
  <si>
    <t>阳宗海管委会七甸汤池</t>
  </si>
  <si>
    <t>连续下坡500M</t>
  </si>
  <si>
    <t>500X240</t>
  </si>
  <si>
    <t>连续下坡7KM</t>
  </si>
  <si>
    <t>急弯下坡减速</t>
  </si>
  <si>
    <t>530X230</t>
  </si>
  <si>
    <t>线性诱导标</t>
  </si>
  <si>
    <t>60X80</t>
  </si>
  <si>
    <t>大意一下子后悔一辈子</t>
  </si>
  <si>
    <t>连续下坡4KM</t>
  </si>
  <si>
    <t>急弯陡坡减速</t>
  </si>
  <si>
    <t>避险车道前方2KM</t>
  </si>
  <si>
    <t>弯道长坡谨慎驾驶</t>
  </si>
  <si>
    <t>210X110</t>
  </si>
  <si>
    <t>49T</t>
  </si>
  <si>
    <t>避险车道前方1KM</t>
  </si>
  <si>
    <t>超车道行车道行车道</t>
  </si>
  <si>
    <t>250X250X3</t>
  </si>
  <si>
    <t>3KM长下坡谨慎驾驶</t>
  </si>
  <si>
    <t>避险车道前方500M</t>
  </si>
  <si>
    <t>单悬臂</t>
  </si>
  <si>
    <t>阳宗服务区2KM</t>
  </si>
  <si>
    <t>400X340</t>
  </si>
  <si>
    <t>避险车道</t>
  </si>
  <si>
    <t>前方1.5KM加水 货车注意加水</t>
  </si>
  <si>
    <t>阳宗澄江2KM</t>
  </si>
  <si>
    <t>170X110</t>
  </si>
  <si>
    <t>阳宗服务区1km</t>
  </si>
  <si>
    <t>软基路段</t>
  </si>
  <si>
    <t>210X120</t>
  </si>
  <si>
    <t>阳宗澄江1KM</t>
  </si>
  <si>
    <t>限速60</t>
  </si>
  <si>
    <t>限速40</t>
  </si>
  <si>
    <t>阳宗澄江500M</t>
  </si>
  <si>
    <t>抚仙湖旅游度假区</t>
  </si>
  <si>
    <t>阳宗澄江出口</t>
  </si>
  <si>
    <t>小车解除限速110</t>
  </si>
  <si>
    <t>1818+900</t>
  </si>
  <si>
    <t>九乡旅游区60KM</t>
  </si>
  <si>
    <t>大车解除限速90</t>
  </si>
  <si>
    <t>石林风景区石林世界地质公园45KM</t>
  </si>
  <si>
    <t>让</t>
  </si>
  <si>
    <t>三角形</t>
  </si>
  <si>
    <t>a﹦80</t>
  </si>
  <si>
    <t>下一出口8KM</t>
  </si>
  <si>
    <t>330X270</t>
  </si>
  <si>
    <t>禁令标志/指路标志</t>
  </si>
  <si>
    <t>禁止掉头、1818</t>
  </si>
  <si>
    <t>圆形/六边形</t>
  </si>
  <si>
    <t>阳宗大桥</t>
  </si>
  <si>
    <t>凝冰路段减速慢行</t>
  </si>
  <si>
    <t>地点距离标志</t>
  </si>
  <si>
    <t>全程监控严禁超速</t>
  </si>
  <si>
    <t>隧道减速慢行500M</t>
  </si>
  <si>
    <t>前方进入保持安全距离</t>
  </si>
  <si>
    <t>请开大灯</t>
  </si>
  <si>
    <t>大车靠右严禁变道</t>
  </si>
  <si>
    <t>车道指示</t>
  </si>
  <si>
    <t>隧道内禁止超车</t>
  </si>
  <si>
    <t>消防专用通道禁止车辆通行</t>
  </si>
  <si>
    <t>汤池草甸500M</t>
  </si>
  <si>
    <t>240X280+180X83</t>
  </si>
  <si>
    <t>ETC不停车收费</t>
  </si>
  <si>
    <t>汤池草甸</t>
  </si>
  <si>
    <t>分流标志</t>
  </si>
  <si>
    <t>草甸出口</t>
  </si>
  <si>
    <t>200X420</t>
  </si>
  <si>
    <t>360X250</t>
  </si>
  <si>
    <t>九乡旅游区53KM</t>
  </si>
  <si>
    <t>汤池出口</t>
  </si>
  <si>
    <t>下一出口11km</t>
  </si>
  <si>
    <t>1809+950</t>
  </si>
  <si>
    <t>车距确认200M</t>
  </si>
  <si>
    <t>特控路段前方500M</t>
  </si>
  <si>
    <t>410X280</t>
  </si>
  <si>
    <t>9KM连续下坡开始</t>
  </si>
  <si>
    <t>多雾路段</t>
  </si>
  <si>
    <t>连续下坡8km大车抵挡控速</t>
  </si>
  <si>
    <t>小客车限速110其他车限速90</t>
  </si>
  <si>
    <t>桥隧路段保持车距</t>
  </si>
  <si>
    <t>请开 大灯</t>
  </si>
  <si>
    <t>隧道标志</t>
  </si>
  <si>
    <t>a=130</t>
  </si>
  <si>
    <t xml:space="preserve">
φ120+100X60</t>
  </si>
  <si>
    <t>连续下坡9km剩余6km</t>
  </si>
  <si>
    <t>雨天路滑减速慢行</t>
  </si>
  <si>
    <t>连续下坡9KM抵挡慢行</t>
  </si>
  <si>
    <t>隧道入口</t>
  </si>
  <si>
    <t>连续下坡剩余3km</t>
  </si>
  <si>
    <t>当心落石</t>
  </si>
  <si>
    <t>雨雾冰雪减速慢行</t>
  </si>
  <si>
    <t>清水沟2#大桥</t>
  </si>
  <si>
    <t>连续下坡9km低档慢行</t>
  </si>
  <si>
    <t>宜良G3242km</t>
  </si>
  <si>
    <t>240X280+180X82</t>
  </si>
  <si>
    <t>连续下坡9km结束</t>
  </si>
  <si>
    <t>国道编号</t>
  </si>
  <si>
    <t>1799+850</t>
  </si>
  <si>
    <t>宜良出口1km</t>
  </si>
  <si>
    <t>宜良出口500m</t>
  </si>
  <si>
    <t>泸西阿庐古洞城子古村</t>
  </si>
  <si>
    <t>340X260</t>
  </si>
  <si>
    <t>宜良出口</t>
  </si>
  <si>
    <t>九乡旅游区38km</t>
  </si>
  <si>
    <t>420X200</t>
  </si>
  <si>
    <t>石林风景区24km</t>
  </si>
  <si>
    <t>下一出口3KM</t>
  </si>
  <si>
    <t>南盘江大桥</t>
  </si>
  <si>
    <t>G78石林弥勒
G56嵩明曲靖武定                        G56澄江通海玉溪</t>
  </si>
  <si>
    <t>G56绕城高速</t>
  </si>
  <si>
    <t>木渣箐1号大桥</t>
  </si>
  <si>
    <t>木渣箐2号大桥</t>
  </si>
  <si>
    <t>新发村大桥</t>
  </si>
  <si>
    <t>连续下坡6KM</t>
  </si>
  <si>
    <t>连续下坡5KM</t>
  </si>
  <si>
    <t>易结冰路段请谨慎驾驶</t>
  </si>
  <si>
    <t>官山水库大桥</t>
  </si>
  <si>
    <t>国家G80高速2KM</t>
  </si>
  <si>
    <t>G78石林风景区G80弥勒蒙自出口2KM</t>
  </si>
  <si>
    <t>国家G80高速1KM</t>
  </si>
  <si>
    <t>G78石林风景区G80弥勒蒙自出口1KM</t>
  </si>
  <si>
    <t>国家G80高速500M</t>
  </si>
  <si>
    <t>弥勒 文山</t>
  </si>
  <si>
    <t>泸西阿庐风景区</t>
  </si>
  <si>
    <t>G78石林风景区G80弥勒蒙自</t>
  </si>
  <si>
    <t>陆良 师宗 罗平 兴义</t>
  </si>
  <si>
    <t>石林大桥</t>
  </si>
  <si>
    <t>石林景区
曲靖师宗
陆良 罗平 兴义</t>
  </si>
  <si>
    <t>K75+800</t>
  </si>
  <si>
    <t>石林环岛2KM</t>
  </si>
  <si>
    <t>双悬</t>
  </si>
  <si>
    <t>K76+100</t>
  </si>
  <si>
    <t>大车靠右</t>
  </si>
  <si>
    <t>K76+800</t>
  </si>
  <si>
    <t>收费站500M</t>
  </si>
  <si>
    <t>K77+000</t>
  </si>
  <si>
    <t>ETC分流标志</t>
  </si>
  <si>
    <t>K77+200</t>
  </si>
  <si>
    <t>石林环岛500M</t>
  </si>
  <si>
    <t>K77+300</t>
  </si>
  <si>
    <t>限速5</t>
  </si>
  <si>
    <t>ETC车辆靠左</t>
  </si>
  <si>
    <t>K77+400</t>
  </si>
  <si>
    <t>超宽车请走边道</t>
  </si>
  <si>
    <t>K77+900</t>
  </si>
  <si>
    <t>石林环岛出口</t>
  </si>
  <si>
    <t>K78+000</t>
  </si>
  <si>
    <t>石林</t>
  </si>
  <si>
    <t>上行线</t>
  </si>
  <si>
    <t>昆石高速公路管养止点
昆明桥隧管理有限公司管养起点</t>
  </si>
  <si>
    <t>G78 1KM</t>
  </si>
  <si>
    <t>西山民族村风景区</t>
  </si>
  <si>
    <t>G78 2KM</t>
  </si>
  <si>
    <t>安全记心中幸福在家中</t>
  </si>
  <si>
    <t>G78G80昆明主城方向</t>
  </si>
  <si>
    <t>二环快速安宁西山风景区大理</t>
  </si>
  <si>
    <t>东三环呈贡新区方向朱家村立交出口</t>
  </si>
  <si>
    <t>二环以内全天 16.2KM滇池国际会展中心</t>
  </si>
  <si>
    <t>东三环呈贡新区方向朱家村立交出口500m</t>
  </si>
  <si>
    <t>西山民族风景区</t>
  </si>
  <si>
    <t>二环快速石虎关立交安宁大理</t>
  </si>
  <si>
    <t>东三环以北</t>
  </si>
  <si>
    <t>世博园金殿景区1KM云南野生动物园1KM</t>
  </si>
  <si>
    <t>中国自由贸易试验区昆明片区昆明经济技术开发区出口</t>
  </si>
  <si>
    <t>昆明主城区昆明经济技术开发区</t>
  </si>
  <si>
    <t>东三环虹桥立交彩云北路2KM</t>
  </si>
  <si>
    <t>鸣泉村立交</t>
  </si>
  <si>
    <t>G8511昆明主城区</t>
  </si>
  <si>
    <t>G85玉溪普洱景洪</t>
  </si>
  <si>
    <t>大型车靠右行驶</t>
  </si>
  <si>
    <t>滇池国际会展中心</t>
  </si>
  <si>
    <t>k1846+300</t>
  </si>
  <si>
    <t>ETC专用车道</t>
  </si>
  <si>
    <t>320X250</t>
  </si>
  <si>
    <t>k1845+500</t>
  </si>
  <si>
    <t>收费站1km</t>
  </si>
  <si>
    <t>510×200</t>
  </si>
  <si>
    <t>k1844+500</t>
  </si>
  <si>
    <t>520×270</t>
  </si>
  <si>
    <t>k1843+200</t>
  </si>
  <si>
    <t>k1842+800</t>
  </si>
  <si>
    <t>龙昇500m</t>
  </si>
  <si>
    <t>k1842+120</t>
  </si>
  <si>
    <t>k1842+000</t>
  </si>
  <si>
    <t>k1841+800</t>
  </si>
  <si>
    <t>龙昇2km</t>
  </si>
  <si>
    <t>k1841+280</t>
  </si>
  <si>
    <t>东三环（含）以北</t>
  </si>
  <si>
    <t>k1841+200</t>
  </si>
  <si>
    <t>180×82+400×380</t>
  </si>
  <si>
    <t>k1841+050</t>
  </si>
  <si>
    <t>k1840+900</t>
  </si>
  <si>
    <t>昆明主城区 禁止通行</t>
  </si>
  <si>
    <t>k1840+850</t>
  </si>
  <si>
    <t>主城限行 遵提示通行</t>
  </si>
  <si>
    <t>k1840+750</t>
  </si>
  <si>
    <t>k1840+450</t>
  </si>
  <si>
    <t>广卫立交 长水机场 500m</t>
  </si>
  <si>
    <t>k1839+950</t>
  </si>
  <si>
    <t>420×200</t>
  </si>
  <si>
    <t>k1839+900</t>
  </si>
  <si>
    <t>广卫立交 长水机场 1km</t>
  </si>
  <si>
    <t>k1839+350</t>
  </si>
  <si>
    <t>广卫立交 长水机场 2km</t>
  </si>
  <si>
    <t>k1839+200</t>
  </si>
  <si>
    <t>小石坝5km 朱家村10km 昆明主城区13km</t>
  </si>
  <si>
    <t>430×480</t>
  </si>
  <si>
    <t>k1839+070</t>
  </si>
  <si>
    <t>下一出口2km</t>
  </si>
  <si>
    <t>k1837+850</t>
  </si>
  <si>
    <t>k1837+800</t>
  </si>
  <si>
    <t>国家高速 G78 昆明方向</t>
  </si>
  <si>
    <t>125×120+135×66</t>
  </si>
  <si>
    <t>k1837+500</t>
  </si>
  <si>
    <t>王家营出口</t>
  </si>
  <si>
    <t>k1837+400</t>
  </si>
  <si>
    <t>k1837+300</t>
  </si>
  <si>
    <t>k1837+050</t>
  </si>
  <si>
    <t>云南民族大观园 400m</t>
  </si>
  <si>
    <t>k1836+970</t>
  </si>
  <si>
    <t>k1836+900</t>
  </si>
  <si>
    <t>王家营出口500m</t>
  </si>
  <si>
    <t>240×280</t>
  </si>
  <si>
    <t>k1836+460</t>
  </si>
  <si>
    <t>石龙路 王家营1km</t>
  </si>
  <si>
    <t>180×82+340×340</t>
  </si>
  <si>
    <t>k1836+260</t>
  </si>
  <si>
    <t>k1836+000</t>
  </si>
  <si>
    <t>k1835+700</t>
  </si>
  <si>
    <t>G78 昆明 玉溪 S27 澄江 呈贡</t>
  </si>
  <si>
    <t>k1835+500</t>
  </si>
  <si>
    <t>S27 呈元高速 澄江 呈贡 玉溪</t>
  </si>
  <si>
    <t>180X82</t>
  </si>
  <si>
    <t>k1835+450</t>
  </si>
  <si>
    <t>k1835+400</t>
  </si>
  <si>
    <t>石龙路 王家营2km</t>
  </si>
  <si>
    <t>G78 昆明 玉溪 S27 澄江 呈贡 1.5km</t>
  </si>
  <si>
    <t>k1834+130</t>
  </si>
  <si>
    <t>k1834+100</t>
  </si>
  <si>
    <t>k1833+900</t>
  </si>
  <si>
    <t>k1833+800</t>
  </si>
  <si>
    <t>昆明 服务区</t>
  </si>
  <si>
    <t>480×390</t>
  </si>
  <si>
    <t>k1833+750</t>
  </si>
  <si>
    <t>小团山 停车区</t>
  </si>
  <si>
    <t>200×400</t>
  </si>
  <si>
    <t>k1833+650</t>
  </si>
  <si>
    <t>k1833+600</t>
  </si>
  <si>
    <t>隧道500m 减速慢行</t>
  </si>
  <si>
    <t>k1833+550</t>
  </si>
  <si>
    <t>G78 昆明 玉溪 S27 澄江 呈贡 2km</t>
  </si>
  <si>
    <t>k1833+350</t>
  </si>
  <si>
    <t>k1833+250</t>
  </si>
  <si>
    <t>超车道 行车道 行车道</t>
  </si>
  <si>
    <t>k1832+100</t>
  </si>
  <si>
    <t>服务区</t>
  </si>
  <si>
    <t>k1832+050</t>
  </si>
  <si>
    <t>k1831+900</t>
  </si>
  <si>
    <t>注意横风 三家村大桥 全长1100m</t>
  </si>
  <si>
    <t>k1831+300</t>
  </si>
  <si>
    <t>王家营6km 小石坝13km 昆明主城区21km</t>
  </si>
  <si>
    <t>k1831+150</t>
  </si>
  <si>
    <t>下一出口6km</t>
  </si>
  <si>
    <t>330×270</t>
  </si>
  <si>
    <t>k1830+700</t>
  </si>
  <si>
    <t>k1830+630</t>
  </si>
  <si>
    <t>k1830+600</t>
  </si>
  <si>
    <t>k1830+150</t>
  </si>
  <si>
    <t>松茂 昆明南站</t>
  </si>
  <si>
    <t>k1829+800</t>
  </si>
  <si>
    <t>k1829+750</t>
  </si>
  <si>
    <t>k1829+700</t>
  </si>
  <si>
    <t xml:space="preserve">松茂 昆明南站 </t>
  </si>
  <si>
    <t>102×135</t>
  </si>
  <si>
    <t>k1829+500</t>
  </si>
  <si>
    <t>松茂 昆明南站 500m</t>
  </si>
  <si>
    <t>k1829+050</t>
  </si>
  <si>
    <t>松茂 昆明南站 1km</t>
  </si>
  <si>
    <t>k1828+800</t>
  </si>
  <si>
    <t>严禁车道内停车 加水车辆请到服务区</t>
  </si>
  <si>
    <t>k1826+800</t>
  </si>
  <si>
    <t>阳宗海管委会 七甸 汤池</t>
  </si>
  <si>
    <t>k1826+750</t>
  </si>
  <si>
    <t>k1826+600</t>
  </si>
  <si>
    <t>昆明 呈贡 阳宗海管委会 七甸 汤池</t>
  </si>
  <si>
    <t>k1825+800</t>
  </si>
  <si>
    <t>阳宗海管委会 七甸 汤池 500m</t>
  </si>
  <si>
    <t>k1825+500</t>
  </si>
  <si>
    <t>阳宗海管委会 七甸 汤池 1km</t>
  </si>
  <si>
    <t>k1824+400</t>
  </si>
  <si>
    <t>阳宗海管委会 七甸 汤池 2km</t>
  </si>
  <si>
    <t>k1822+550</t>
  </si>
  <si>
    <t>k1822+500</t>
  </si>
  <si>
    <t>车距确认100m</t>
  </si>
  <si>
    <t>210×120</t>
  </si>
  <si>
    <t>k1822+450</t>
  </si>
  <si>
    <t>车距确认50m</t>
  </si>
  <si>
    <t>k1822+400</t>
  </si>
  <si>
    <t>车距确认0m</t>
  </si>
  <si>
    <t>k1822+300</t>
  </si>
  <si>
    <t>k1822+250</t>
  </si>
  <si>
    <t>k1822+050</t>
  </si>
  <si>
    <t>车距确认 前方 200m</t>
  </si>
  <si>
    <t>340×260</t>
  </si>
  <si>
    <t>k1821+800</t>
  </si>
  <si>
    <t>追尾危险、保持车距</t>
  </si>
  <si>
    <t>k1821+700</t>
  </si>
  <si>
    <t>禁止停车</t>
  </si>
  <si>
    <t>松茂10km 小石坝24km 昆明主城区32km</t>
  </si>
  <si>
    <t>k1819+800</t>
  </si>
  <si>
    <t>k1819+300</t>
  </si>
  <si>
    <t>下一出口10km</t>
  </si>
  <si>
    <t>k1818+650</t>
  </si>
  <si>
    <t>阳宗 澄江出口1819</t>
  </si>
  <si>
    <t>400×310</t>
  </si>
  <si>
    <t>k1818+600</t>
  </si>
  <si>
    <t>k1818+590</t>
  </si>
  <si>
    <t>k1818+570</t>
  </si>
  <si>
    <t xml:space="preserve">阳宗 澄江 </t>
  </si>
  <si>
    <t>k1818+550</t>
  </si>
  <si>
    <t>阳宗服务区1KM</t>
  </si>
  <si>
    <t>阳宗 澄江 500m</t>
  </si>
  <si>
    <t>k1817+800</t>
  </si>
  <si>
    <t>阳宗 澄江 1km</t>
  </si>
  <si>
    <t>k1817+500</t>
  </si>
  <si>
    <t>阳宗大桥 全长424m</t>
  </si>
  <si>
    <t>k1817+400</t>
  </si>
  <si>
    <t>阳宗 2km</t>
  </si>
  <si>
    <t>k1816+900</t>
  </si>
  <si>
    <t>阳宗 澄江 2km</t>
  </si>
  <si>
    <t>k1816+800</t>
  </si>
  <si>
    <t>k1816+400</t>
  </si>
  <si>
    <t>阳宗 2km 小石坝29km 昆明36km</t>
  </si>
  <si>
    <t>k1815+800</t>
  </si>
  <si>
    <t>连续下坡 3km</t>
  </si>
  <si>
    <t>k1815+600</t>
  </si>
  <si>
    <t>k1815+550</t>
  </si>
  <si>
    <t>k1815+300</t>
  </si>
  <si>
    <t>连续下坡 500m</t>
  </si>
  <si>
    <t>k1812+350</t>
  </si>
  <si>
    <t>k1812+300</t>
  </si>
  <si>
    <t>k1812+050</t>
  </si>
  <si>
    <t>大车靠右 严禁变道</t>
  </si>
  <si>
    <t>k1811+990</t>
  </si>
  <si>
    <t>前方进入隧道 保持安全距离</t>
  </si>
  <si>
    <t>k1811+940</t>
  </si>
  <si>
    <t>隧道 500m 减速慢行</t>
  </si>
  <si>
    <t>k1811+910</t>
  </si>
  <si>
    <t>k1811+860</t>
  </si>
  <si>
    <t>k1811+810</t>
  </si>
  <si>
    <t>G78昆明方向</t>
  </si>
  <si>
    <t>小客车客货车客货车</t>
  </si>
  <si>
    <t>k1811+550</t>
  </si>
  <si>
    <t>k1811+350</t>
  </si>
  <si>
    <t>草甸</t>
  </si>
  <si>
    <t>180×82+300×310</t>
  </si>
  <si>
    <t>k1811+150</t>
  </si>
  <si>
    <t>汤池</t>
  </si>
  <si>
    <t>k1810+950</t>
  </si>
  <si>
    <t>ETC 人工ETC</t>
  </si>
  <si>
    <t>k1810+930</t>
  </si>
  <si>
    <t>阳宗海旅游度假区</t>
  </si>
  <si>
    <t>k1810+850</t>
  </si>
  <si>
    <t>汤池 草甸</t>
  </si>
  <si>
    <t>300×310</t>
  </si>
  <si>
    <t>k1810+700</t>
  </si>
  <si>
    <t>ETC 不停车收费</t>
  </si>
  <si>
    <t>k1810+600</t>
  </si>
  <si>
    <t>汤池 草甸 500m</t>
  </si>
  <si>
    <t>k1810+300</t>
  </si>
  <si>
    <t>汤池 草甸 1km</t>
  </si>
  <si>
    <t>k1809+250</t>
  </si>
  <si>
    <t>汤池 草甸 2km</t>
  </si>
  <si>
    <t>k1806+350</t>
  </si>
  <si>
    <t>k1805+200</t>
  </si>
  <si>
    <t>k1805+100</t>
  </si>
  <si>
    <t>k1805+010</t>
  </si>
  <si>
    <t>k1804+950</t>
  </si>
  <si>
    <t>k1804+600</t>
  </si>
  <si>
    <t>k1803+800</t>
  </si>
  <si>
    <t>清水沟1#特大桥 全长740m</t>
  </si>
  <si>
    <t>400×200</t>
  </si>
  <si>
    <t>k1803+600</t>
  </si>
  <si>
    <t>k1803+100</t>
  </si>
  <si>
    <t>清水沟2#大桥 全长389m</t>
  </si>
  <si>
    <t>k1801+300</t>
  </si>
  <si>
    <t>500×240</t>
  </si>
  <si>
    <t>k1800+750</t>
  </si>
  <si>
    <t>草甸11km 小石坝43km 昆明51km</t>
  </si>
  <si>
    <t>k1800+600</t>
  </si>
  <si>
    <t>k1800+150</t>
  </si>
  <si>
    <t>k1800+050</t>
  </si>
  <si>
    <t>k1799+950</t>
  </si>
  <si>
    <t>k1799+900</t>
  </si>
  <si>
    <t>k1799+600</t>
  </si>
  <si>
    <t>k1799+500</t>
  </si>
  <si>
    <t>k1798+900</t>
  </si>
  <si>
    <t>k1798+750</t>
  </si>
  <si>
    <t>k1798+600</t>
  </si>
  <si>
    <t>云南民族大观园44KM</t>
  </si>
  <si>
    <t>k1798+300</t>
  </si>
  <si>
    <t>k1798+200</t>
  </si>
  <si>
    <t>220×120</t>
  </si>
  <si>
    <t>k1797+900</t>
  </si>
  <si>
    <t>k1797+600</t>
  </si>
  <si>
    <t>九乡 旅游区 38km</t>
  </si>
  <si>
    <t>k1797+510</t>
  </si>
  <si>
    <t>k1797+010</t>
  </si>
  <si>
    <t>k1795+930</t>
  </si>
  <si>
    <t>国家高速 G78 汕昆高速 国家高速G80广昆高速 昆明方向</t>
  </si>
  <si>
    <t>125×120+125×120+135×66</t>
  </si>
  <si>
    <t>k1795+920</t>
  </si>
  <si>
    <t>宜良出口2km</t>
  </si>
  <si>
    <t>70X48</t>
  </si>
  <si>
    <t>k1794+700</t>
  </si>
  <si>
    <t>k1794+400</t>
  </si>
  <si>
    <t>250×250×3</t>
  </si>
  <si>
    <t>k1794+300</t>
  </si>
  <si>
    <t xml:space="preserve">国家高速 G78 汕昆高速 </t>
  </si>
  <si>
    <t>125×120</t>
  </si>
  <si>
    <t>k1794+250</t>
  </si>
  <si>
    <t>昆明绕城 澄江 玉溪</t>
  </si>
  <si>
    <t>180×82+500×500</t>
  </si>
  <si>
    <t>k1794+050</t>
  </si>
  <si>
    <t>k1793+850</t>
  </si>
  <si>
    <t>昆明 嵩明 曲靖 武定 澄江 通海 玉溪</t>
  </si>
  <si>
    <t>k1793+200</t>
  </si>
  <si>
    <t>连续急弯 减速</t>
  </si>
  <si>
    <t>410×280</t>
  </si>
  <si>
    <t>k1793+150</t>
  </si>
  <si>
    <t>昆明绕城 澄江 玉溪 500m</t>
  </si>
  <si>
    <t>k1792+950</t>
  </si>
  <si>
    <t>k1792+800</t>
  </si>
  <si>
    <t>昆明绕城 澄江 玉溪 1km</t>
  </si>
  <si>
    <t>k1792+210</t>
  </si>
  <si>
    <t>k1792+200</t>
  </si>
  <si>
    <t>弯道长坡 谨慎驾驶</t>
  </si>
  <si>
    <t>170×110</t>
  </si>
  <si>
    <t>k1792+100</t>
  </si>
  <si>
    <t>k1791+850</t>
  </si>
  <si>
    <t>大型车辆 靠右行驶</t>
  </si>
  <si>
    <t>k1791+800</t>
  </si>
  <si>
    <t>绕城高速 寻甸 玉溪 澄江 2km</t>
  </si>
  <si>
    <t>k1790+950</t>
  </si>
  <si>
    <t>木喳箐1#特大桥 全长698m</t>
  </si>
  <si>
    <t>k1788+700</t>
  </si>
  <si>
    <t>k1788+650</t>
  </si>
  <si>
    <t>陡坡急弯 事故多发 减速</t>
  </si>
  <si>
    <t>k1788+600</t>
  </si>
  <si>
    <t>k1788+420</t>
  </si>
  <si>
    <t>长下坡、请检查制动</t>
  </si>
  <si>
    <t>500×280</t>
  </si>
  <si>
    <t>k1787+950</t>
  </si>
  <si>
    <t>新发村大桥 全长467m</t>
  </si>
  <si>
    <t>k1787+900</t>
  </si>
  <si>
    <t>ф120</t>
  </si>
  <si>
    <t>k1787+800</t>
  </si>
  <si>
    <t>连续下坡、谨慎驾驶</t>
  </si>
  <si>
    <t>k1787+600</t>
  </si>
  <si>
    <t>k1787+100</t>
  </si>
  <si>
    <t>k1786+600</t>
  </si>
  <si>
    <t>k1786+450</t>
  </si>
  <si>
    <t>k1785+950</t>
  </si>
  <si>
    <t>k1785+030</t>
  </si>
  <si>
    <t>连续下坡8km 大车低档控速</t>
  </si>
  <si>
    <t>k1784+950</t>
  </si>
  <si>
    <t>k1784+800</t>
  </si>
  <si>
    <t>前方长下坡控制车速进站加水</t>
  </si>
  <si>
    <t>k1784+500</t>
  </si>
  <si>
    <t>重型车辆 靠右行驶</t>
  </si>
  <si>
    <t>大车靠右强制加水500M</t>
  </si>
  <si>
    <t>k1784+050</t>
  </si>
  <si>
    <t>交警提示 特控路段 前方500m</t>
  </si>
  <si>
    <t>k1783+950</t>
  </si>
  <si>
    <t>强制加水1KM</t>
  </si>
  <si>
    <t>k1783+900</t>
  </si>
  <si>
    <t>前方500M小客车限速110 其他车限速90</t>
  </si>
  <si>
    <t>360X330</t>
  </si>
  <si>
    <t>k1783+800</t>
  </si>
  <si>
    <t>k1783+600</t>
  </si>
  <si>
    <t>k1783+050</t>
  </si>
  <si>
    <t xml:space="preserve"> 地点距离标志</t>
  </si>
  <si>
    <t>连续下坡9km</t>
  </si>
  <si>
    <t>大型车辆加水站</t>
  </si>
  <si>
    <t>连续下坡10km 大车低档控速</t>
  </si>
  <si>
    <t>云南民族大观园63KM</t>
  </si>
  <si>
    <t>其他限速100</t>
  </si>
  <si>
    <t>石林至昆明方向</t>
  </si>
  <si>
    <t>G78G80昆明宜良 G80弥勒文山</t>
  </si>
  <si>
    <t>宜良昆明弥勒文山</t>
  </si>
  <si>
    <t>宜良昆明弥勒蒙自1KM</t>
  </si>
  <si>
    <t>石林站-昆明方向</t>
  </si>
  <si>
    <t>半截河2KM  小石坝69KM                    昆明75KM</t>
  </si>
  <si>
    <t>超车道行车道硬路肩</t>
  </si>
  <si>
    <t>请勿疲劳驾驶</t>
  </si>
  <si>
    <t>K1759+220</t>
  </si>
  <si>
    <t>辖区止点</t>
  </si>
  <si>
    <t>西石高速</t>
  </si>
  <si>
    <t>K1762+550</t>
  </si>
  <si>
    <t>弯道诱导标</t>
  </si>
  <si>
    <t>K1762+750</t>
  </si>
  <si>
    <t>K1763+500</t>
  </si>
  <si>
    <t>K1765+200</t>
  </si>
  <si>
    <t>冬季低温谨慎驾驶</t>
  </si>
  <si>
    <t>K1767+150</t>
  </si>
  <si>
    <t>小客车限速120客货车限速100</t>
  </si>
  <si>
    <t>K1767+800</t>
  </si>
  <si>
    <t>水源区减速慢行</t>
  </si>
  <si>
    <t>K1768+550</t>
  </si>
  <si>
    <t>连续急弯减速</t>
  </si>
  <si>
    <t>K1769+450</t>
  </si>
  <si>
    <t>K1770+550</t>
  </si>
  <si>
    <t>急弯减速</t>
  </si>
  <si>
    <t>K1770+650</t>
  </si>
  <si>
    <t>大莫古陆良曲靖</t>
  </si>
  <si>
    <t>K1771+840</t>
  </si>
  <si>
    <t>K1771+900</t>
  </si>
  <si>
    <t>G78汕昆高速</t>
  </si>
  <si>
    <t>K1772+720</t>
  </si>
  <si>
    <t>曲靖师宗石林北陆良罗平</t>
  </si>
  <si>
    <t>K1772+400</t>
  </si>
  <si>
    <t>石林风景区泸西阿庐古洞</t>
  </si>
  <si>
    <t>K1772+950</t>
  </si>
  <si>
    <t>曲靖兴义石林北</t>
  </si>
  <si>
    <t>K1773+100</t>
  </si>
  <si>
    <t>K1773+200</t>
  </si>
  <si>
    <t>车距确认300M</t>
  </si>
  <si>
    <t>K1773+780</t>
  </si>
  <si>
    <t>石林北500M</t>
  </si>
  <si>
    <t>K1774+650</t>
  </si>
  <si>
    <t>出站车辆靠右行驶石林北1KM</t>
  </si>
  <si>
    <t>K1774+950</t>
  </si>
  <si>
    <t>石林北2M</t>
  </si>
  <si>
    <t>K1775+450</t>
  </si>
  <si>
    <t>K1775+650</t>
  </si>
  <si>
    <t>请按正确车道行驶</t>
  </si>
  <si>
    <t>K1775+850</t>
  </si>
  <si>
    <t>匝道限速80</t>
  </si>
  <si>
    <t>辖区起点</t>
  </si>
  <si>
    <t>K1760+250</t>
  </si>
  <si>
    <t>K1761+950</t>
  </si>
  <si>
    <t>K1764+350</t>
  </si>
  <si>
    <t>K1765+450</t>
  </si>
  <si>
    <t>K1766+950</t>
  </si>
  <si>
    <t>K1767+950</t>
  </si>
  <si>
    <t>K1769+550</t>
  </si>
  <si>
    <t>K1770+450</t>
  </si>
  <si>
    <t>石林北2KM</t>
  </si>
  <si>
    <t>K1771+000</t>
  </si>
  <si>
    <t>K1771+450</t>
  </si>
  <si>
    <t>石林风景区石林北500M</t>
  </si>
  <si>
    <t>K1772+000</t>
  </si>
  <si>
    <t>昆明文山石林北</t>
  </si>
  <si>
    <t>K1772+050</t>
  </si>
  <si>
    <t>K1772+100</t>
  </si>
  <si>
    <t>K1772+250</t>
  </si>
  <si>
    <t>K1772+750</t>
  </si>
  <si>
    <t>昆明文山石林北石林风景区</t>
  </si>
  <si>
    <t>K1774+550</t>
  </si>
  <si>
    <t>K1775+010</t>
  </si>
  <si>
    <t>K1775+000</t>
  </si>
  <si>
    <t>宜良昆明弥勒文山2KM</t>
  </si>
  <si>
    <t>K1776+000</t>
  </si>
  <si>
    <t>宜良昆明弥勒文山1KM</t>
  </si>
  <si>
    <t>K1776+100</t>
  </si>
  <si>
    <t>K1776+850</t>
  </si>
  <si>
    <t>宜良昆明弥勒文山500M</t>
  </si>
  <si>
    <t>起止桩号</t>
  </si>
  <si>
    <t>护栏设置形式</t>
  </si>
  <si>
    <t>防撞等级分类</t>
  </si>
  <si>
    <t>立柱规格</t>
  </si>
  <si>
    <t>立柱埋深cm</t>
  </si>
  <si>
    <t>波形梁板规格</t>
  </si>
  <si>
    <t>长度m</t>
  </si>
  <si>
    <t>备 注</t>
  </si>
  <si>
    <t>K1851+670-K1851+520</t>
  </si>
  <si>
    <t>路侧波形护栏</t>
  </si>
  <si>
    <t>A</t>
  </si>
  <si>
    <t>￠140×4.5</t>
  </si>
  <si>
    <t>85×310×3×4320</t>
  </si>
  <si>
    <t>K1850+800-K1850+710</t>
  </si>
  <si>
    <t>K1850+440-K1850+350</t>
  </si>
  <si>
    <t>K1850+140-K1849+570</t>
  </si>
  <si>
    <t>K1849+495-K1849+225</t>
  </si>
  <si>
    <t>K1849+030-K1848+805</t>
  </si>
  <si>
    <t>K1847+260-K1847+065</t>
  </si>
  <si>
    <t>K1847+005-K1846+930</t>
  </si>
  <si>
    <t>K1847+100-K1845+700</t>
  </si>
  <si>
    <t>K1845+700-1845+250</t>
  </si>
  <si>
    <t>K1845+180-K1845+060</t>
  </si>
  <si>
    <t>K1845+030-K1844+000</t>
  </si>
  <si>
    <t>K1843+895-K1843+625</t>
  </si>
  <si>
    <t>K1843+195-K1842+655</t>
  </si>
  <si>
    <t>K1841+825-K1841+645</t>
  </si>
  <si>
    <t>K1841+435-K1841+215</t>
  </si>
  <si>
    <t>K1841+000-K1840+640</t>
  </si>
  <si>
    <t>K1840+580-K1840+415</t>
  </si>
  <si>
    <t>K1840+000-K1839+685</t>
  </si>
  <si>
    <t>K1839+600-K1839+525</t>
  </si>
  <si>
    <t>K1839+425-K1839+365</t>
  </si>
  <si>
    <t>K1839+150-K1839+000</t>
  </si>
  <si>
    <t>K1838+900-K1838+852</t>
  </si>
  <si>
    <t>K1838+507-K1838+391</t>
  </si>
  <si>
    <t>K1838+180-K1837+880</t>
  </si>
  <si>
    <t>K1837+820-K1837+655</t>
  </si>
  <si>
    <t>K1837+555-K1836+895</t>
  </si>
  <si>
    <t>K1836+255-K1835+865</t>
  </si>
  <si>
    <t>K1835+760-K1835+380</t>
  </si>
  <si>
    <t>K1834+240-K1834+042</t>
  </si>
  <si>
    <t>K1832+139-K1832+059</t>
  </si>
  <si>
    <t>K1831+969-K1831+933</t>
  </si>
  <si>
    <t>K1831+888-K1831+760</t>
  </si>
  <si>
    <t>K1831+690-K1830+906</t>
  </si>
  <si>
    <t>K1830+556-K1830+432</t>
  </si>
  <si>
    <t>K1830+362-K1830+002</t>
  </si>
  <si>
    <t>K1829+835-K1829+539</t>
  </si>
  <si>
    <t>K1829+479-K1829+091</t>
  </si>
  <si>
    <t>K1828+871-K1828+815</t>
  </si>
  <si>
    <t>K1828+725-1827+605</t>
  </si>
  <si>
    <t>K1827+500-K1827+488</t>
  </si>
  <si>
    <t>K1827+545-1826+777</t>
  </si>
  <si>
    <t>K1823+701-1823+693</t>
  </si>
  <si>
    <t>K1823+105-K1822+969</t>
  </si>
  <si>
    <t>K1822+803-K1822+791</t>
  </si>
  <si>
    <t>K1822+716-K1822+628</t>
  </si>
  <si>
    <t>K1822+403-K1821+927</t>
  </si>
  <si>
    <t>K1821+837-K1821+781</t>
  </si>
  <si>
    <t>K1821+676-K1821+640</t>
  </si>
  <si>
    <t>K1821+580-K1821+064</t>
  </si>
  <si>
    <t>K1820+730-K1820+698</t>
  </si>
  <si>
    <t>K1820+638-K1820+170</t>
  </si>
  <si>
    <t>K1820+118-K1819+682</t>
  </si>
  <si>
    <t>K1819+622-K1819+550</t>
  </si>
  <si>
    <t>K1819+490-1819+090</t>
  </si>
  <si>
    <t>K1819+090-K1818+954</t>
  </si>
  <si>
    <t>K1818+909-K1818+557</t>
  </si>
  <si>
    <t>K1818+497-K1817+969</t>
  </si>
  <si>
    <t>K1816+955-K1816+943</t>
  </si>
  <si>
    <t>K1816+663-K1816+647</t>
  </si>
  <si>
    <t>K1816+347-K1816+315</t>
  </si>
  <si>
    <t>K1816+055-K1816+043</t>
  </si>
  <si>
    <t>K1815+878-K1815+838</t>
  </si>
  <si>
    <t>K1815+478-K1815+410</t>
  </si>
  <si>
    <t>K1812+370-K1811+998</t>
  </si>
  <si>
    <t>K1811+940-K1811+428</t>
  </si>
  <si>
    <t>K1811+428-K1811+200</t>
  </si>
  <si>
    <t>K1811+200-1808+790</t>
  </si>
  <si>
    <t>K1808+325-K1808+313</t>
  </si>
  <si>
    <t>K1808+233-K1808+197</t>
  </si>
  <si>
    <t>K1808+152-K1807+776</t>
  </si>
  <si>
    <t>K1807+726-K1807+618</t>
  </si>
  <si>
    <t>K1807+468-K1807+288</t>
  </si>
  <si>
    <t>K1806+470-K1806+150</t>
  </si>
  <si>
    <t>K1805+850-K1805+786</t>
  </si>
  <si>
    <t>K1805+526-K1805+510</t>
  </si>
  <si>
    <t>K1803+760-K1803+732</t>
  </si>
  <si>
    <t>K1803+232-K1803+000</t>
  </si>
  <si>
    <t>K1802+370-K1802+358</t>
  </si>
  <si>
    <t>K1801+938-K1801+926</t>
  </si>
  <si>
    <t>K1801+581-K1801+213</t>
  </si>
  <si>
    <t>K1800+985-K1800+591</t>
  </si>
  <si>
    <t>K1800+511-K1800+091</t>
  </si>
  <si>
    <t>K1800+041-K1799+903</t>
  </si>
  <si>
    <t>K1799+833-K1799+425</t>
  </si>
  <si>
    <t>K1799+355-K1798+971</t>
  </si>
  <si>
    <t>K1798+901-K1798+673</t>
  </si>
  <si>
    <t>K1798+693-K1798+547</t>
  </si>
  <si>
    <t>K1798+555-K1798+351</t>
  </si>
  <si>
    <t>K1798+330-K1797+715</t>
  </si>
  <si>
    <t>K1797+585-K1797+169</t>
  </si>
  <si>
    <t>K1797+030-K1796+832</t>
  </si>
  <si>
    <t>K1796+702-K1796+544</t>
  </si>
  <si>
    <t>K1796+434-K1796+118</t>
  </si>
  <si>
    <t>K1795+925-K1795+545</t>
  </si>
  <si>
    <t>K1795+090-K1794+832</t>
  </si>
  <si>
    <t>K1794+592-K1794+492</t>
  </si>
  <si>
    <t>K1794+342-K1794+134</t>
  </si>
  <si>
    <t>K1793+184-K1792+902</t>
  </si>
  <si>
    <t>K1792+628-K1792+616</t>
  </si>
  <si>
    <t>K1792+304-K1792+296</t>
  </si>
  <si>
    <t>K1792+310-K1792+298</t>
  </si>
  <si>
    <t>K1792+118-K1792+106</t>
  </si>
  <si>
    <t>K1791+926-K1791+886</t>
  </si>
  <si>
    <t>K1791+856-K1791+718</t>
  </si>
  <si>
    <t>K1790+878-K1790+790</t>
  </si>
  <si>
    <t>K1790+168-K1790+130</t>
  </si>
  <si>
    <t>K1789+910-K1789+858</t>
  </si>
  <si>
    <t>K1789+653-K1789+641</t>
  </si>
  <si>
    <t>K1789+686-K1789+402</t>
  </si>
  <si>
    <t>K1788+835-K1788+473</t>
  </si>
  <si>
    <t>K1787+990-K1787+974</t>
  </si>
  <si>
    <t>K1787+794-K1787+782</t>
  </si>
  <si>
    <t>K1787+604-K1787+492</t>
  </si>
  <si>
    <t>K1787+432-K1787+392</t>
  </si>
  <si>
    <t>K1787+312-K1787+300</t>
  </si>
  <si>
    <t>K1787+202-K1787+190</t>
  </si>
  <si>
    <t>K1787+090-K1786+894</t>
  </si>
  <si>
    <t>K1786+734-K1786+522</t>
  </si>
  <si>
    <t>K1786+342-K1786+314</t>
  </si>
  <si>
    <t>K1786+164-K1785+938</t>
  </si>
  <si>
    <t>K1785+758-K1785+638</t>
  </si>
  <si>
    <t>K1785+000-K1784+908</t>
  </si>
  <si>
    <t>K1784+708-K1784+692</t>
  </si>
  <si>
    <t>K1784+482-K1784+330</t>
  </si>
  <si>
    <t>K1784+105-K1783+593</t>
  </si>
  <si>
    <t>K1783+321-K1783+261</t>
  </si>
  <si>
    <t>K1783+171-K1781+791</t>
  </si>
  <si>
    <t>K1780+951-K1780+775</t>
  </si>
  <si>
    <t>K1780+625-K1780+533</t>
  </si>
  <si>
    <t>K1780+363-K1780+123</t>
  </si>
  <si>
    <t>K1779+843-K1779+519</t>
  </si>
  <si>
    <t>K1779+459-K1779+263</t>
  </si>
  <si>
    <t>K1778+775-K1778+687</t>
  </si>
  <si>
    <t>K1778+340-K1778+060</t>
  </si>
  <si>
    <t>K1777+760-K1777+534</t>
  </si>
  <si>
    <t>K1777+234-K1777+214</t>
  </si>
  <si>
    <t>K1777+114-K75+570</t>
  </si>
  <si>
    <t>K75+650-K75+970</t>
  </si>
  <si>
    <t>K76+050-K76+420</t>
  </si>
  <si>
    <t>K76+600 -K77+044</t>
  </si>
  <si>
    <t>K77+454 -K77+562</t>
  </si>
  <si>
    <t>K77+662 -K77+750</t>
  </si>
  <si>
    <t>K1849+975-K1850+005</t>
  </si>
  <si>
    <t>中分带波形护栏</t>
  </si>
  <si>
    <r>
      <rPr>
        <sz val="10"/>
        <color indexed="8"/>
        <rFont val="宋体"/>
        <charset val="134"/>
      </rPr>
      <t>A</t>
    </r>
    <r>
      <rPr>
        <sz val="10"/>
        <color indexed="8"/>
        <rFont val="宋体"/>
        <charset val="134"/>
      </rPr>
      <t>m</t>
    </r>
  </si>
  <si>
    <r>
      <rPr>
        <sz val="10"/>
        <color indexed="8"/>
        <rFont val="宋体"/>
        <charset val="134"/>
      </rPr>
      <t>￠1</t>
    </r>
    <r>
      <rPr>
        <sz val="10"/>
        <color indexed="8"/>
        <rFont val="宋体"/>
        <charset val="134"/>
      </rPr>
      <t>14</t>
    </r>
    <r>
      <rPr>
        <sz val="10"/>
        <color indexed="8"/>
        <rFont val="宋体"/>
        <charset val="134"/>
      </rPr>
      <t>×4.5</t>
    </r>
  </si>
  <si>
    <t>K1845+925-K1845+790</t>
  </si>
  <si>
    <t>￠114×4.5</t>
  </si>
  <si>
    <t>K1845+730-K1845+250</t>
  </si>
  <si>
    <t>K1845+175-K1844+590</t>
  </si>
  <si>
    <t>K1844+565-K1843+255</t>
  </si>
  <si>
    <t>K1843+195-K1842+805</t>
  </si>
  <si>
    <t>K1842+780-K1841+625</t>
  </si>
  <si>
    <t>K1841+565-K1840+545</t>
  </si>
  <si>
    <t>K1840+470-K1840+290</t>
  </si>
  <si>
    <t>K1840+000-K1837+870</t>
  </si>
  <si>
    <t>K1837+810-K1837+630</t>
  </si>
  <si>
    <t>K1837+555-K1835+980</t>
  </si>
  <si>
    <t>K1835+930-K1835+630</t>
  </si>
  <si>
    <t>K1834+050-K1833+225</t>
  </si>
  <si>
    <t>K1832+132-K1832+108</t>
  </si>
  <si>
    <t>K1832+084-K1832+108</t>
  </si>
  <si>
    <t>K1831+912-K1831+929</t>
  </si>
  <si>
    <t>K1831+727-K1813+782</t>
  </si>
  <si>
    <t>K1830+727-K1830+727</t>
  </si>
  <si>
    <t>K1830+417-K1830+457</t>
  </si>
  <si>
    <t>K1829+597-K1829+637</t>
  </si>
  <si>
    <t>K1829+296-K1829+326</t>
  </si>
  <si>
    <t>K1828+296-K1827+624</t>
  </si>
  <si>
    <t>K1827+579-K1826+579</t>
  </si>
  <si>
    <t>K1826+579-K1826+355</t>
  </si>
  <si>
    <t>K1824+354-K1823+840</t>
  </si>
  <si>
    <t>K1823+840-K1823+836</t>
  </si>
  <si>
    <t>K1823+586-K1823+146</t>
  </si>
  <si>
    <t>K1823+122-K1822+122</t>
  </si>
  <si>
    <t>K1822+122-K1821+122</t>
  </si>
  <si>
    <t>K1821+122-K1820+854</t>
  </si>
  <si>
    <t>K1820+744-K1820+288</t>
  </si>
  <si>
    <t>K1820+243-K1820+035</t>
  </si>
  <si>
    <t>K1820+010-K1819+122</t>
  </si>
  <si>
    <t>K1819+069-K1818+713</t>
  </si>
  <si>
    <t>K1818+643-K1817+955</t>
  </si>
  <si>
    <t>K1817+403-K1817+083</t>
  </si>
  <si>
    <t>K1817+043-K1816+435</t>
  </si>
  <si>
    <t>K1816+145-K1815+145</t>
  </si>
  <si>
    <t>K1815+145-K1815+125</t>
  </si>
  <si>
    <t>K1815+105-K1815+081</t>
  </si>
  <si>
    <t>K1815+056-K1814+944</t>
  </si>
  <si>
    <t>K1812+480-K1812+380</t>
  </si>
  <si>
    <t>K1812+320-K1811+992</t>
  </si>
  <si>
    <t>K1811+932-K1810+932</t>
  </si>
  <si>
    <t>K1810+932-K1809+932</t>
  </si>
  <si>
    <t>K1809+932-K1809+552</t>
  </si>
  <si>
    <t>K1809+527-K1808+527</t>
  </si>
  <si>
    <t>K1808+527-K1807+555</t>
  </si>
  <si>
    <t>K1807+530-K1807+230</t>
  </si>
  <si>
    <t>K1806+850-K1805+858</t>
  </si>
  <si>
    <t>K1805+818-K1805+502</t>
  </si>
  <si>
    <t>K1805+058-K1804+614</t>
  </si>
  <si>
    <t>K1804+404-K1804+260</t>
  </si>
  <si>
    <t>K1804+259-K1804+203</t>
  </si>
  <si>
    <t>K1804+163-K1803+963</t>
  </si>
  <si>
    <t>K1803+633-K1803+581</t>
  </si>
  <si>
    <t>K1803+121-K1803+061</t>
  </si>
  <si>
    <t>K1802+781-K1802+769</t>
  </si>
  <si>
    <t>K1802+729-K1801+729</t>
  </si>
  <si>
    <t>K1801+729-K1801+589</t>
  </si>
  <si>
    <t>K1801+499-K1801+63</t>
  </si>
  <si>
    <t>K1800+999-K1800+863</t>
  </si>
  <si>
    <t>K1800+799-K1800+383</t>
  </si>
  <si>
    <t>K1800+313-K1799+929</t>
  </si>
  <si>
    <t>K1799+859-K1799+767</t>
  </si>
  <si>
    <t>K1799+765-1799+669</t>
  </si>
  <si>
    <t>K1799+623-K1799+399</t>
  </si>
  <si>
    <t>K1798+004-K1797+376</t>
  </si>
  <si>
    <t>K1797+226-K1796+746</t>
  </si>
  <si>
    <t>K1796+636-K1796+408</t>
  </si>
  <si>
    <t>K1796+278-K1796+138</t>
  </si>
  <si>
    <t>K1796+028-K1795+948</t>
  </si>
  <si>
    <t>K1795+918-K1795+706</t>
  </si>
  <si>
    <t>K1795+496-K1795+100</t>
  </si>
  <si>
    <t>K1794+600-K1794+348</t>
  </si>
  <si>
    <t>K1794+300-K1794+232</t>
  </si>
  <si>
    <t>K1785+204-K1784+204</t>
  </si>
  <si>
    <t>K1784+204-K1783+984</t>
  </si>
  <si>
    <t>K1783+764-K1783+220</t>
  </si>
  <si>
    <t>K1783+180-K1782+616</t>
  </si>
  <si>
    <t>K1782+566-K1781+566</t>
  </si>
  <si>
    <t>K1781+566-K1781+414</t>
  </si>
  <si>
    <t>K1781+374-K1781+234</t>
  </si>
  <si>
    <t>K1781+080-K1780+480</t>
  </si>
  <si>
    <t>K1780+455-K1779+455</t>
  </si>
  <si>
    <t>K1779+455-K1779+135</t>
  </si>
  <si>
    <t>K1779+095-K1778+407</t>
  </si>
  <si>
    <t>K1778+070-K1777+070</t>
  </si>
  <si>
    <t>K1777+070-K1776+070</t>
  </si>
  <si>
    <t>K76+100-K76+116</t>
  </si>
  <si>
    <t>K76+156-K77+156</t>
  </si>
  <si>
    <t>K77+156-K77+364</t>
  </si>
  <si>
    <t>K77+638-K77+810</t>
  </si>
  <si>
    <t>K1846+750-K1847+000</t>
  </si>
  <si>
    <t>K1847+060-K1847+510</t>
  </si>
  <si>
    <t>K1847+590-K1847+965</t>
  </si>
  <si>
    <t>K1848+010-K1848+190</t>
  </si>
  <si>
    <t>K1848+280-K1848+415</t>
  </si>
  <si>
    <t>K1848+475-K1848+910</t>
  </si>
  <si>
    <t>K1849+300-K1849+600</t>
  </si>
  <si>
    <t>K1849+675-K1850+035</t>
  </si>
  <si>
    <t>K1850+395-K1850+485</t>
  </si>
  <si>
    <t>K1850+710-K1850+860</t>
  </si>
  <si>
    <t>K1851+490-K1851+865</t>
  </si>
  <si>
    <t>K1845+045-K1845+150</t>
  </si>
  <si>
    <t>K1844+045-K1845+030</t>
  </si>
  <si>
    <t>K1843+445-K1843+895</t>
  </si>
  <si>
    <t>K1842+555-K1843+210</t>
  </si>
  <si>
    <t>K1841+735-K1841+870</t>
  </si>
  <si>
    <t>K1841+525-K1841+585</t>
  </si>
  <si>
    <t>K1841+210-K1841+300</t>
  </si>
  <si>
    <t>K1840+720-K1841+060</t>
  </si>
  <si>
    <t>K1839+560-1840+000</t>
  </si>
  <si>
    <t>K1839+080-K1839+440</t>
  </si>
  <si>
    <t>K1838+790-K1838+895</t>
  </si>
  <si>
    <t>K1838+270-K1838+580</t>
  </si>
  <si>
    <t>K1837+685-K1837+865</t>
  </si>
  <si>
    <t>K1836+765-K1836+865</t>
  </si>
  <si>
    <t>K1835+970-K1836+735</t>
  </si>
  <si>
    <t>K1834+111-K1834+231</t>
  </si>
  <si>
    <t>K1833+895-K1833+955</t>
  </si>
  <si>
    <t>K1832+146-K1832+290</t>
  </si>
  <si>
    <t>K1831+955-K1831+923</t>
  </si>
  <si>
    <t>K1831+873-K1831+837</t>
  </si>
  <si>
    <t>K1831+747-1831+711</t>
  </si>
  <si>
    <t>K1831+636-K1831+580</t>
  </si>
  <si>
    <t>K1831+510-K1831+478</t>
  </si>
  <si>
    <t>K1831+298-K1830+746</t>
  </si>
  <si>
    <t>K1830+536-K1830+340</t>
  </si>
  <si>
    <t>K1830+280-K1830+032</t>
  </si>
  <si>
    <t>K1829+822-K1829+498</t>
  </si>
  <si>
    <t>K1829+448-K1829+000</t>
  </si>
  <si>
    <t>K1828+321-K1828+253</t>
  </si>
  <si>
    <t>K1828+203-K1827+139</t>
  </si>
  <si>
    <t>K1827+089-K1826+817</t>
  </si>
  <si>
    <t>K1826+817-K1826+144</t>
  </si>
  <si>
    <t>K1824+177-K1824+145</t>
  </si>
  <si>
    <t>K1823+995-K1823+571</t>
  </si>
  <si>
    <t>K1823+231-K1823+195</t>
  </si>
  <si>
    <t>K1822+925-K1824+477</t>
  </si>
  <si>
    <t>K1822+277-K1821+581</t>
  </si>
  <si>
    <t>K1821+506-K1821+030</t>
  </si>
  <si>
    <t>K1820+729-K1820+693</t>
  </si>
  <si>
    <t>K1820+633-K1820+189</t>
  </si>
  <si>
    <t>K1820+139-K1819+937</t>
  </si>
  <si>
    <t>K1819+937-K1819+617</t>
  </si>
  <si>
    <t>K1819+547-K1819+455</t>
  </si>
  <si>
    <t>K1819+435-K1818+943</t>
  </si>
  <si>
    <t>K1818+883-K1818+527</t>
  </si>
  <si>
    <t>K1818+452-K1817+948</t>
  </si>
  <si>
    <t>K1817+485-K1817+313</t>
  </si>
  <si>
    <t>K1816+918-K1816+898</t>
  </si>
  <si>
    <t>K1816+598-K1816+546</t>
  </si>
  <si>
    <t>K1816+246-K1816+186</t>
  </si>
  <si>
    <t>K1815+906-K1815+814</t>
  </si>
  <si>
    <t>K1815+694-K1815+682</t>
  </si>
  <si>
    <t>K1815+482-K1815+412</t>
  </si>
  <si>
    <t>K1812+465-K1812+405</t>
  </si>
  <si>
    <t>K1812+355-K1811+983</t>
  </si>
  <si>
    <t>K1811+928-K1808+590</t>
  </si>
  <si>
    <t>K1807+297-K1806+917</t>
  </si>
  <si>
    <t>K1806+632-K1806+430</t>
  </si>
  <si>
    <t>K1806+850-K1805+518</t>
  </si>
  <si>
    <t>K1805+121-K1805+109</t>
  </si>
  <si>
    <t>K1804+989-K1804+977</t>
  </si>
  <si>
    <t>K1804+777-K1804+709</t>
  </si>
  <si>
    <t>K1804+649-K1804+637</t>
  </si>
  <si>
    <t>K1803+332-K1803+320</t>
  </si>
  <si>
    <t>K1801+732-K1800+616</t>
  </si>
  <si>
    <t>K1800+526-K1800+078</t>
  </si>
  <si>
    <t>K1800+018-K1799+880</t>
  </si>
  <si>
    <t>K1799+810-K1799+398</t>
  </si>
  <si>
    <t>K1799+328-K1798+944</t>
  </si>
  <si>
    <t>K1798+879-K1798+675</t>
  </si>
  <si>
    <t>K1798+625-K1798+395</t>
  </si>
  <si>
    <t>K1798+309-K1798+159</t>
  </si>
  <si>
    <t>K1798+159-K1797+919</t>
  </si>
  <si>
    <t>K1797+919-K1797+679</t>
  </si>
  <si>
    <t>K1797+559-K1797+191</t>
  </si>
  <si>
    <t>K1797+086-K1796+846</t>
  </si>
  <si>
    <t>K1796+741-K1796+617</t>
  </si>
  <si>
    <t>K1796+511-K1796+195</t>
  </si>
  <si>
    <t>K1795+985-K1795+825</t>
  </si>
  <si>
    <t>K1795+105-K1794+845</t>
  </si>
  <si>
    <t>K1794+672-K1794+424</t>
  </si>
  <si>
    <t>K1793+774-K1793+530</t>
  </si>
  <si>
    <t>K1793+170-K1793+114</t>
  </si>
  <si>
    <t>K1792+994-K1792+784</t>
  </si>
  <si>
    <t>K1792+484-K1792+326</t>
  </si>
  <si>
    <t>K1792+276-K1792+410</t>
  </si>
  <si>
    <t>K1791+850-K1791+838</t>
  </si>
  <si>
    <t>K1790+868-K1790+840</t>
  </si>
  <si>
    <t>K1790+120-K1790+108</t>
  </si>
  <si>
    <t>K1789+988-K1789+976</t>
  </si>
  <si>
    <t>K1789+626-K1789+554</t>
  </si>
  <si>
    <t>K1789+434-K1789+418</t>
  </si>
  <si>
    <t>K1789+328-K1789+296</t>
  </si>
  <si>
    <t>K1789+216-K1789+160</t>
  </si>
  <si>
    <t>K1788+783-K1788+431</t>
  </si>
  <si>
    <t>K1787+981-K1787+969</t>
  </si>
  <si>
    <t>K1787+804-K1787+684</t>
  </si>
  <si>
    <t>K1787+474-K1787+462</t>
  </si>
  <si>
    <t>K1787+132-K1787+120</t>
  </si>
  <si>
    <t>K1786+952-K1786+932</t>
  </si>
  <si>
    <t>K1786+772-K1786+652</t>
  </si>
  <si>
    <t>K1786+052-K1785+996</t>
  </si>
  <si>
    <t>K1785+766-K1785+586</t>
  </si>
  <si>
    <t>K1784+986-K1784+816</t>
  </si>
  <si>
    <t>K1784+696-K1784+680</t>
  </si>
  <si>
    <t>K1784+455-K1784+443</t>
  </si>
  <si>
    <t>K1783+938-K1783+802</t>
  </si>
  <si>
    <t>K1783+762-K1783+730</t>
  </si>
  <si>
    <t>K1783+250-K1783+238</t>
  </si>
  <si>
    <t>K1783+198-K1783+070</t>
  </si>
  <si>
    <t>K1782+880-K1782+610</t>
  </si>
  <si>
    <t>K1782+415-K1782+399</t>
  </si>
  <si>
    <t>K1782+249-K1781+995</t>
  </si>
  <si>
    <t>K1781+330-K1781+318</t>
  </si>
  <si>
    <t>K1781+198-K1781+108</t>
  </si>
  <si>
    <t>K1780+973-K1780+867</t>
  </si>
  <si>
    <t>K1780+647-K1780+583</t>
  </si>
  <si>
    <t>K1780+433-K1780+121</t>
  </si>
  <si>
    <t>K1779+901-K1779+861</t>
  </si>
  <si>
    <t>K1779+786-K1779+774</t>
  </si>
  <si>
    <t>K1779+639-K1779+367</t>
  </si>
  <si>
    <t>K1779+307-K1778+827</t>
  </si>
  <si>
    <t>K1778+427-K1778+045</t>
  </si>
  <si>
    <t>K1778+342-K1778+038</t>
  </si>
  <si>
    <t>K1777+638-K1777+230</t>
  </si>
  <si>
    <t>K75+6+740-K75+890</t>
  </si>
  <si>
    <t>K76+040-K76+464</t>
  </si>
  <si>
    <t>K76+704-K77+132</t>
  </si>
  <si>
    <t>K77+510-K77+598</t>
  </si>
  <si>
    <t>K77+690-K77+910</t>
  </si>
  <si>
    <t>K1846+315-K1846+690</t>
  </si>
  <si>
    <t>K1845+992-1846+000</t>
  </si>
  <si>
    <t>K1845+790-K1845+910</t>
  </si>
  <si>
    <t>K1845+235-K1845+730</t>
  </si>
  <si>
    <t>K1845+055-K1845+175</t>
  </si>
  <si>
    <t>K1844+580-1845+045</t>
  </si>
  <si>
    <t>K1843+270-K1844+555</t>
  </si>
  <si>
    <t>K1842+820-K1843+210</t>
  </si>
  <si>
    <t>K1841+690-K1842+795</t>
  </si>
  <si>
    <t>K1840+685-K1841+630</t>
  </si>
  <si>
    <t>K1840+505-K1840+610</t>
  </si>
  <si>
    <t>K1840+420-K1840+480</t>
  </si>
  <si>
    <t>K1837+860-K1840+000</t>
  </si>
  <si>
    <t>K1837+620-K1837+800</t>
  </si>
  <si>
    <t>K1835+850-K1837+580</t>
  </si>
  <si>
    <t>K1835+475-K1835+805</t>
  </si>
  <si>
    <t>K1834+000-K1834+165</t>
  </si>
  <si>
    <t>K1833+225-K1833+975</t>
  </si>
  <si>
    <t>K1832+139-K1832+115</t>
  </si>
  <si>
    <t>K1832+091-K1831+943</t>
  </si>
  <si>
    <t>K1831+926-K1831+796</t>
  </si>
  <si>
    <t>K1831+741-K1830+741</t>
  </si>
  <si>
    <t>K1830+741-K1830+473</t>
  </si>
  <si>
    <t>K1830+433-K1829+653</t>
  </si>
  <si>
    <t>K1829+613-K1829+345</t>
  </si>
  <si>
    <t>K1829+315-1828+315</t>
  </si>
  <si>
    <t>K1828+315-K1827+643</t>
  </si>
  <si>
    <t>K1827+598-K1826+598</t>
  </si>
  <si>
    <t>K1826+598-K1826+374</t>
  </si>
  <si>
    <t>K1826+344-K1826+144</t>
  </si>
  <si>
    <t>K1824+354-K1823+859</t>
  </si>
  <si>
    <t>K1823+605-K1823+165</t>
  </si>
  <si>
    <t>K1823+141-K1822+141</t>
  </si>
  <si>
    <t>K1822+141-K1821+141</t>
  </si>
  <si>
    <t>K1821+141-K1820+873</t>
  </si>
  <si>
    <t>K1820+763-K1820+307</t>
  </si>
  <si>
    <t>K1820+262-K1820+054</t>
  </si>
  <si>
    <t>K1820+029-K1819+141</t>
  </si>
  <si>
    <t>K1819+088-K1818+732</t>
  </si>
  <si>
    <t>K1818+662-K1817+982</t>
  </si>
  <si>
    <t>K1817+430-K1817+110</t>
  </si>
  <si>
    <t>K1817+070-K1816+462</t>
  </si>
  <si>
    <t>K1816+172-K1815+316</t>
  </si>
  <si>
    <t>K1815+296-K1815+272</t>
  </si>
  <si>
    <t>K1815+247-K1815+135</t>
  </si>
  <si>
    <t>K1812+480-K1812+406</t>
  </si>
  <si>
    <t>K1812+018-K1811+690</t>
  </si>
  <si>
    <t>K1811+630-K1810+630</t>
  </si>
  <si>
    <t>K1810+630-K1809+630</t>
  </si>
  <si>
    <t>K1809+630-K1809+242</t>
  </si>
  <si>
    <t>K1809+217-K1808+217</t>
  </si>
  <si>
    <t>K1808+217-K1807+257</t>
  </si>
  <si>
    <t>K1807+232-K1806+930</t>
  </si>
  <si>
    <t>K1806+550-K1805+554</t>
  </si>
  <si>
    <t>K1805+514-K1805+194</t>
  </si>
  <si>
    <t>K1804+750-K1804+668</t>
  </si>
  <si>
    <t>K1803+458-K1803+308</t>
  </si>
  <si>
    <t>K1802+922-K1802+870</t>
  </si>
  <si>
    <t>K1802+830-K1802+626</t>
  </si>
  <si>
    <t>K1802+296-K1802+244</t>
  </si>
  <si>
    <t>K1801+784-K1801+722</t>
  </si>
  <si>
    <t>K1801+442-K1810+434</t>
  </si>
  <si>
    <t>K1801+394-K1800+394</t>
  </si>
  <si>
    <t>K1800+394-K1800+262</t>
  </si>
  <si>
    <t>K1800+172-K1799+738</t>
  </si>
  <si>
    <t>K1799+674-1799+536</t>
  </si>
  <si>
    <t>K1799+472-K1799+060</t>
  </si>
  <si>
    <t>K1798+990-K1798+606</t>
  </si>
  <si>
    <t>K1798+536-K1798+444</t>
  </si>
  <si>
    <t>K1798+406-K1798+314</t>
  </si>
  <si>
    <t>K1798+268-K1798+044</t>
  </si>
  <si>
    <t>K1798+004-K1797+372</t>
  </si>
  <si>
    <t>K1797+222-K1796+754</t>
  </si>
  <si>
    <t>K1796+644-K1796+418</t>
  </si>
  <si>
    <t>K1796+218-K1796+078</t>
  </si>
  <si>
    <t>K1795+968-K1795+888</t>
  </si>
  <si>
    <t>K1795+858-K1795+646</t>
  </si>
  <si>
    <t>K1795+436-K1795+046</t>
  </si>
  <si>
    <t>K1794+546-K1794+290</t>
  </si>
  <si>
    <t>K1794+242-K1794+172</t>
  </si>
  <si>
    <t>K1794+132-K1794+000</t>
  </si>
  <si>
    <t>K1785+240-K1785+173</t>
  </si>
  <si>
    <t>K1785+133-K1784+133</t>
  </si>
  <si>
    <t>K1784+133-K1783+901</t>
  </si>
  <si>
    <t>K1783+681-K1783+141</t>
  </si>
  <si>
    <t>K1783+101-K1782+413</t>
  </si>
  <si>
    <t>K1782+353-K1781+353</t>
  </si>
  <si>
    <t>K1781+353-K1781+165</t>
  </si>
  <si>
    <t>K1781+125-K1780+971</t>
  </si>
  <si>
    <t>K1780+817-K1780+217</t>
  </si>
  <si>
    <t>K1780+192-K1779+192</t>
  </si>
  <si>
    <t>K1779+192-K1778+888</t>
  </si>
  <si>
    <t>K1778+848-K1778+160</t>
  </si>
  <si>
    <t>K1777+847-K1776+847</t>
  </si>
  <si>
    <t>K75+076-K76+076</t>
  </si>
  <si>
    <t>K74+076-K76+116</t>
  </si>
  <si>
    <t>K1777+000-K1776+850</t>
  </si>
  <si>
    <t>85×310×4×4320</t>
  </si>
  <si>
    <t>K1776+775-K1776+700</t>
  </si>
  <si>
    <t>K1775+785-K1775+665</t>
  </si>
  <si>
    <t>K1775+640-K1775+565</t>
  </si>
  <si>
    <t>K1775+195-K1774+550</t>
  </si>
  <si>
    <t>K1774+330-K1773+760</t>
  </si>
  <si>
    <t>K1773+640-K1773+505</t>
  </si>
  <si>
    <t>K1773+225-K1772+700</t>
  </si>
  <si>
    <t>K1772+550-K1772+370</t>
  </si>
  <si>
    <t>K1772+235-K1771+835</t>
  </si>
  <si>
    <t>K1769+430-K1769+280</t>
  </si>
  <si>
    <t>K1769+090-K1768+160</t>
  </si>
  <si>
    <t>K1768+140-K1767+630</t>
  </si>
  <si>
    <t>K1767+390-K1767+015</t>
  </si>
  <si>
    <t>K1766+925-K1766+820</t>
  </si>
  <si>
    <t>K1766+760-K1766+520</t>
  </si>
  <si>
    <t>K1766+400-K1765+970</t>
  </si>
  <si>
    <t>K1765+805-K1765+430</t>
  </si>
  <si>
    <t>K1765+045-K1764+925</t>
  </si>
  <si>
    <t>K1764+625-K1764+355</t>
  </si>
  <si>
    <t>K1764+175-K1762+160</t>
  </si>
  <si>
    <t>K1761+405-K1760+325</t>
  </si>
  <si>
    <t>K1760+180-K1759+715</t>
  </si>
  <si>
    <t>K1759+625-K1759+220</t>
  </si>
  <si>
    <t>K1777+090-K1777+000</t>
  </si>
  <si>
    <t>K1776+990-K1776+870</t>
  </si>
  <si>
    <t>K1776+705-K1776+600</t>
  </si>
  <si>
    <t>K1776+420-K1776+240</t>
  </si>
  <si>
    <t>K1770+435-K1770+000</t>
  </si>
  <si>
    <t>K1769+955-K1768+725</t>
  </si>
  <si>
    <t>K1768+665-K1766+280</t>
  </si>
  <si>
    <t>K1766+235-K1763+775</t>
  </si>
  <si>
    <t>K1763+730-K1760+075</t>
  </si>
  <si>
    <t>K1760+030-K1759+220</t>
  </si>
  <si>
    <t>K1760+255-K1761+060</t>
  </si>
  <si>
    <t>K1761+036-K1761+381</t>
  </si>
  <si>
    <t>K1762+075-K1762+255</t>
  </si>
  <si>
    <t>85×506×4×4320</t>
  </si>
  <si>
    <t>K1763+510-K1763+960</t>
  </si>
  <si>
    <t>K1764+105-K1764+690</t>
  </si>
  <si>
    <t>K1764+955-K1765+825</t>
  </si>
  <si>
    <t>K1766+030-K1766+555</t>
  </si>
  <si>
    <t>K1766+585-K1766+645</t>
  </si>
  <si>
    <t>K1766+720-K1766+795</t>
  </si>
  <si>
    <t>K1766+825-K1767+105</t>
  </si>
  <si>
    <t>K1767+405-K1768+080</t>
  </si>
  <si>
    <t>K1768+110-K1768+275</t>
  </si>
  <si>
    <t>K1768+590-K1768+920</t>
  </si>
  <si>
    <t>K1770+420-K1770+510</t>
  </si>
  <si>
    <t>K1771+685-K1771+790</t>
  </si>
  <si>
    <t>K1772+430-K1773+240</t>
  </si>
  <si>
    <t>K1773+475-K1773+565</t>
  </si>
  <si>
    <t>K1773+700-K1774+315</t>
  </si>
  <si>
    <t>K1774+495-K1775+170</t>
  </si>
  <si>
    <t>K1775+385-K1775+430</t>
  </si>
  <si>
    <t>K1776+240-K1776+420</t>
  </si>
  <si>
    <t>K1776+480-K1776+690</t>
  </si>
  <si>
    <t>K1762+780-K1760+075</t>
  </si>
  <si>
    <t>K1762+825-K1765+225</t>
  </si>
  <si>
    <t>K1765+270-K1768+715</t>
  </si>
  <si>
    <t>K1768+760-K1769+955</t>
  </si>
  <si>
    <t>长度合计</t>
  </si>
  <si>
    <t>说明：1.起止桩号：填写养护桩号，按照路线里程桩号递增方向顺序填写，连续长度大于1000米的以1000米为填写单元，小于1000米的以实际长度为填写单元。2.设置位置：上行线、下行线、XX立交XX匝道、XX隧道广场联络道等。3.护栏设置形式：路侧波形梁护栏、中央分隔带波形梁护栏。4.防撞等级分类：路侧护栏：B级、A级、SB级、SA级、SS级；中央分隔带护栏：Am级分设型、Am级组合型、SBm级、Sam级。5.新增及专项改造工程所增设波形梁护栏按里程桩号顺序加入表格，在备注栏注明并简述工程概况（设置的目的，施工的依据、工期、质量及达到的效果等描述）。</t>
  </si>
  <si>
    <t>位置</t>
  </si>
  <si>
    <t>防撞等级</t>
  </si>
  <si>
    <t>碰撞力（kN）</t>
  </si>
  <si>
    <t>护栏型式</t>
  </si>
  <si>
    <t>构造分类</t>
  </si>
  <si>
    <t>数量m</t>
  </si>
  <si>
    <t>K1852+320-K1852+268</t>
  </si>
  <si>
    <t>路侧桥梁护栏</t>
  </si>
  <si>
    <t>SB级</t>
  </si>
  <si>
    <t>组合式护栏</t>
  </si>
  <si>
    <t>F型</t>
  </si>
  <si>
    <t>昆石-K0.102中桥</t>
  </si>
  <si>
    <t>中分带</t>
  </si>
  <si>
    <t>中央分隔带桥梁护栏</t>
  </si>
  <si>
    <t>SBm级</t>
  </si>
  <si>
    <t>K1852+243-K1852+222</t>
  </si>
  <si>
    <t>昆石-K0+179小桥</t>
  </si>
  <si>
    <t>钢筋混凝土墙式</t>
  </si>
  <si>
    <t>K1851+834-K1851+804</t>
  </si>
  <si>
    <t>昆石-K0.588小桥</t>
  </si>
  <si>
    <t>K1850+730-K1850+712</t>
  </si>
  <si>
    <t>A级</t>
  </si>
  <si>
    <t>金属梁柱式半刚性护栏</t>
  </si>
  <si>
    <t>昆石-K1+692下行线</t>
  </si>
  <si>
    <t>K1850+189-K1852+171</t>
  </si>
  <si>
    <t>昆石-K2.233小桥</t>
  </si>
  <si>
    <t>K1849+642-K1849+510</t>
  </si>
  <si>
    <t>昆石-K2.780中桥</t>
  </si>
  <si>
    <t>K1849+282-K1849+212</t>
  </si>
  <si>
    <t>昆石-K3.140中桥</t>
  </si>
  <si>
    <t>K1849+085-K1849+064</t>
  </si>
  <si>
    <t>昆石-K3.337小桥</t>
  </si>
  <si>
    <t>K1848+491-K1848+434</t>
  </si>
  <si>
    <t>昆石-K3.931中桥</t>
  </si>
  <si>
    <t>K1848+283-K1848+229</t>
  </si>
  <si>
    <t>昆石-K4.139中桥</t>
  </si>
  <si>
    <t>K1847+937-K1847+921</t>
  </si>
  <si>
    <t>昆石-K4.485小桥</t>
  </si>
  <si>
    <t>K1847+628-K1847+602</t>
  </si>
  <si>
    <t>昆石-K4.794中桥</t>
  </si>
  <si>
    <t>K1847+470-K1847+456</t>
  </si>
  <si>
    <t>昆石-K4.952中桥</t>
  </si>
  <si>
    <t>K1847+137-K1847+070</t>
  </si>
  <si>
    <t>昆石-K5.285中桥</t>
  </si>
  <si>
    <t>K1845+897-K1845+830</t>
  </si>
  <si>
    <t>昆石-K6.525中桥</t>
  </si>
  <si>
    <t>K1845+724-K1845+681</t>
  </si>
  <si>
    <t>昆石-K6.698中桥</t>
  </si>
  <si>
    <t>K1845+194-K1845+127</t>
  </si>
  <si>
    <t>昆石-K7.228中桥</t>
  </si>
  <si>
    <t>K1845+042-K1845+022</t>
  </si>
  <si>
    <t>昆石-K7.380小桥（分离式）</t>
  </si>
  <si>
    <t>K1843+232-K1843+178</t>
  </si>
  <si>
    <t>昆石-K9.701中桥</t>
  </si>
  <si>
    <t>K1841+691-K1841+640</t>
  </si>
  <si>
    <t>昆石-K11.270中桥</t>
  </si>
  <si>
    <t>K1841+631-K1841+682</t>
  </si>
  <si>
    <t>K1840+680-K1840+626</t>
  </si>
  <si>
    <t>昆石-K12.295中桥</t>
  </si>
  <si>
    <t>K1840+000-K1840+426</t>
  </si>
  <si>
    <t>昆石-K12.713果林水库大桥</t>
  </si>
  <si>
    <t>K1839+860-K1839+834</t>
  </si>
  <si>
    <t>昆石-K13.108小桥</t>
  </si>
  <si>
    <t>K1839+778-K1839+804</t>
  </si>
  <si>
    <t>Am级</t>
  </si>
  <si>
    <t>K1837+891-K1837+835</t>
  </si>
  <si>
    <t>昆石-K15.060中桥</t>
  </si>
  <si>
    <t>K1837+874-K1837+818</t>
  </si>
  <si>
    <t>K1837+712-K1837+615</t>
  </si>
  <si>
    <t>昆石-K15.299中桥</t>
  </si>
  <si>
    <t>K1837+711-K1837+613</t>
  </si>
  <si>
    <r>
      <rPr>
        <sz val="12"/>
        <rFont val="宋体"/>
        <charset val="134"/>
      </rPr>
      <t>王家营立交匝</t>
    </r>
    <r>
      <rPr>
        <sz val="12"/>
        <rFont val="Times New Roman"/>
        <charset val="134"/>
      </rPr>
      <t>BK0+160.944</t>
    </r>
  </si>
  <si>
    <t>匝道</t>
  </si>
  <si>
    <t>昆石-王家营立交匝BK0+160.944桥</t>
  </si>
  <si>
    <t>K1837+437-K1837+411</t>
  </si>
  <si>
    <t>昆石-K15.479小桥</t>
  </si>
  <si>
    <t>K1837+424-K1837+398</t>
  </si>
  <si>
    <t>K1836+561-K1836+529</t>
  </si>
  <si>
    <t>昆石-K16.405小桥</t>
  </si>
  <si>
    <t>K1836+493-K1836+525</t>
  </si>
  <si>
    <t>K1833+846-K1833+822</t>
  </si>
  <si>
    <t>昆石-K18.900小桥（分离式）</t>
  </si>
  <si>
    <t>K1833+944-K1833+920</t>
  </si>
  <si>
    <t>K1832+616-K1831+516</t>
  </si>
  <si>
    <t>昆石-K19.775三家村特大桥</t>
  </si>
  <si>
    <t>K1831+907-K1831+866</t>
  </si>
  <si>
    <t>昆石-K21.087中桥</t>
  </si>
  <si>
    <t>K1831+869-K1831+909</t>
  </si>
  <si>
    <t>K1831+690-K1831+618</t>
  </si>
  <si>
    <t>昆石-K21.274三家村水库桥</t>
  </si>
  <si>
    <t>K1831+657-K1831+729</t>
  </si>
  <si>
    <t>K1830+925-K1830+957</t>
  </si>
  <si>
    <t>昆石-K21.843小桥</t>
  </si>
  <si>
    <t>K1830+933-K1830+965</t>
  </si>
  <si>
    <t>K1830+577-K1830+555</t>
  </si>
  <si>
    <t>昆石-K22.410小桥</t>
  </si>
  <si>
    <t>K1830+349-K1830+295</t>
  </si>
  <si>
    <t>昆石-K22.515中桥</t>
  </si>
  <si>
    <t>K1830+363-K1830+309</t>
  </si>
  <si>
    <t>K1829+481-K1829+427</t>
  </si>
  <si>
    <t>昆石-K23.507中桥</t>
  </si>
  <si>
    <t>K1829+428-K1829+481</t>
  </si>
  <si>
    <t>K1827+456-K1827+402</t>
  </si>
  <si>
    <t>昆石-K25.533中桥</t>
  </si>
  <si>
    <t>K1827+428-K1827+481</t>
  </si>
  <si>
    <t>K1824+672-K1824+639</t>
  </si>
  <si>
    <t>昆石-K28.357中桥</t>
  </si>
  <si>
    <t>K1824+594-K1824+627</t>
  </si>
  <si>
    <t>K1823+423-1823+146</t>
  </si>
  <si>
    <t>昆石-K29.500鲁溪冲大桥</t>
  </si>
  <si>
    <t>K1823+438-1823+161</t>
  </si>
  <si>
    <t>K1820+647-K1820+594</t>
  </si>
  <si>
    <t>昆石-K32.378中桥</t>
  </si>
  <si>
    <t>K1820+596-K1820+649</t>
  </si>
  <si>
    <t>K1820+126-K1820+084</t>
  </si>
  <si>
    <t>昆石-K32.877中桥</t>
  </si>
  <si>
    <t>K1820+122-K1820+080</t>
  </si>
  <si>
    <t>K1819+798-K1819+821</t>
  </si>
  <si>
    <t>无</t>
  </si>
  <si>
    <t>昆石-K33.180小桥</t>
  </si>
  <si>
    <t>K1819+902-K1819+878</t>
  </si>
  <si>
    <t>K1819+493-K1819+472</t>
  </si>
  <si>
    <t>昆石-K33.532小桥</t>
  </si>
  <si>
    <t>K1819+480-K1819+459</t>
  </si>
  <si>
    <t>K1818+901-K1818+847</t>
  </si>
  <si>
    <t>昆石-K34.100中桥</t>
  </si>
  <si>
    <t>K1818+898-K1818+845</t>
  </si>
  <si>
    <t>K1818+484-K1818+417</t>
  </si>
  <si>
    <t>昆石-K34.518中桥</t>
  </si>
  <si>
    <t>K1818+467-K1818+400</t>
  </si>
  <si>
    <t>K1817+698-K1817+268</t>
  </si>
  <si>
    <t>昆石-K35.280阳宗1号大桥</t>
  </si>
  <si>
    <t>K1817+715-K1817+285</t>
  </si>
  <si>
    <t>K1816+349-K1816+039</t>
  </si>
  <si>
    <t>昆石-K36.597阳宗2号大桥</t>
  </si>
  <si>
    <t>K1816+376-K1816+066</t>
  </si>
  <si>
    <t>K1811+932-K1811+876</t>
  </si>
  <si>
    <t>下行昆石-K40.997中桥
上行昆石-K41.013中桥</t>
  </si>
  <si>
    <t>昆石-K40.997中桥</t>
  </si>
  <si>
    <t>K1810+182-K1810+154</t>
  </si>
  <si>
    <t>昆石-K42.812中桥</t>
  </si>
  <si>
    <t>K1810+133-1810+160</t>
  </si>
  <si>
    <t>K1809+932-K1809+908</t>
  </si>
  <si>
    <t>昆石-K43.089小桥</t>
  </si>
  <si>
    <t>K1809+891-K1809+914</t>
  </si>
  <si>
    <t>K1809+482-K1809+458</t>
  </si>
  <si>
    <t>昆石-K43.521小桥</t>
  </si>
  <si>
    <t>K1809+432-K1809+455</t>
  </si>
  <si>
    <t>K1809+226-K1809+209</t>
  </si>
  <si>
    <t>昆石-K43.748小桥</t>
  </si>
  <si>
    <t>K1809+237-K1809+220</t>
  </si>
  <si>
    <t>K1808+816-K1808+792</t>
  </si>
  <si>
    <t>昆石-K44.175小桥</t>
  </si>
  <si>
    <t>K1808+808-K1808+784</t>
  </si>
  <si>
    <t>K1806+184-K1806+224</t>
  </si>
  <si>
    <t>昆石-K46.815小桥</t>
  </si>
  <si>
    <t>K1806+136-K1806+175</t>
  </si>
  <si>
    <t>K1805+171-K1805+002</t>
  </si>
  <si>
    <t>昆石-K47.778清水沟1号大桥</t>
  </si>
  <si>
    <t>K1804+834-K1804+668</t>
  </si>
  <si>
    <t>昆石-K48.140清水沟2号大桥</t>
  </si>
  <si>
    <t>K1804+832-K1804+076</t>
  </si>
  <si>
    <t>昆石-K48.400清水沟3号大桥</t>
  </si>
  <si>
    <t>K1804+642-K1804+595</t>
  </si>
  <si>
    <t>昆石-K48.307中桥</t>
  </si>
  <si>
    <t>K1804+187-K1803+447</t>
  </si>
  <si>
    <t>昆石-K48.739清水沟4号大桥</t>
  </si>
  <si>
    <t>K1804+611-K1803+395</t>
  </si>
  <si>
    <t>昆石-K48.850清水沟5号大桥</t>
  </si>
  <si>
    <t>K1803+179-K1803+118</t>
  </si>
  <si>
    <t>昆石-K48.983中桥</t>
  </si>
  <si>
    <t>K1803+357-K1802+872</t>
  </si>
  <si>
    <t>昆石-K49.448清水沟6号大桥</t>
  </si>
  <si>
    <t>K1803+489-k1803+096</t>
  </si>
  <si>
    <t>K1802+792-K1805+457</t>
  </si>
  <si>
    <t>昆石-K50.230清水沟7号大桥</t>
  </si>
  <si>
    <t>K1802+809-K1802+498</t>
  </si>
  <si>
    <t>K1802+341-K1802+151</t>
  </si>
  <si>
    <t>昆石-K50.647清水沟8号大桥</t>
  </si>
  <si>
    <t>K1802+217-K1801+759</t>
  </si>
  <si>
    <t>K1801+900-K1801+709</t>
  </si>
  <si>
    <t>昆石-K51.082清水沟9号大桥</t>
  </si>
  <si>
    <t>K1801+952-K1801+700</t>
  </si>
  <si>
    <t>K1800+584-K1800+494</t>
  </si>
  <si>
    <t>昆石-K52.423中桥</t>
  </si>
  <si>
    <t>K1800+557-K1800+467</t>
  </si>
  <si>
    <t>K1800+391-K1800+338</t>
  </si>
  <si>
    <t>昆石-K52.550中桥</t>
  </si>
  <si>
    <t>K1800+423-K1800+370</t>
  </si>
  <si>
    <t>K1800+104-K1800+046</t>
  </si>
  <si>
    <t>昆石-K52.930中桥</t>
  </si>
  <si>
    <t>K1800+021-K1800+079</t>
  </si>
  <si>
    <t>K1799+872-K1799+806</t>
  </si>
  <si>
    <t>昆石-K53.129中桥</t>
  </si>
  <si>
    <t>K1799+821-K1799+755</t>
  </si>
  <si>
    <t>K1799+407-K1799+337</t>
  </si>
  <si>
    <t>昆石-K53.609中桥</t>
  </si>
  <si>
    <t>K1799+350-K1799+280</t>
  </si>
  <si>
    <t>K1798+893-K1798+827</t>
  </si>
  <si>
    <t>昆石-K54.060中桥</t>
  </si>
  <si>
    <t>K1798+902-k1798+836</t>
  </si>
  <si>
    <t>K1798+650-K1798+600</t>
  </si>
  <si>
    <t>昆石-K54.334中桥</t>
  </si>
  <si>
    <t>K1798+642-K1798+592</t>
  </si>
  <si>
    <t>K1798+435-K1798+345</t>
  </si>
  <si>
    <t>昆石-K54.625中桥</t>
  </si>
  <si>
    <t>K1798+323-K1798+233</t>
  </si>
  <si>
    <r>
      <rPr>
        <sz val="12"/>
        <rFont val="宋体"/>
        <charset val="134"/>
      </rPr>
      <t>宜良立交匝</t>
    </r>
    <r>
      <rPr>
        <sz val="12"/>
        <rFont val="Times New Roman"/>
        <charset val="134"/>
      </rPr>
      <t>DK0+317</t>
    </r>
    <r>
      <rPr>
        <sz val="12"/>
        <rFont val="宋体"/>
        <charset val="134"/>
      </rPr>
      <t>桥</t>
    </r>
  </si>
  <si>
    <t>匝道桥</t>
  </si>
  <si>
    <t>昆石-宜良立交匝D桥</t>
  </si>
  <si>
    <t>K1797+637-K1797+507</t>
  </si>
  <si>
    <t>昆石-K55+363大渡口1号大桥</t>
  </si>
  <si>
    <t>K1797+549-K1797+419</t>
  </si>
  <si>
    <t>昆石-K55.363大渡口1号大桥</t>
  </si>
  <si>
    <t>K1797+107-K1796+997</t>
  </si>
  <si>
    <t>昆石-K55+578大渡口2号大桥</t>
  </si>
  <si>
    <t>K1797+068-K1796+958</t>
  </si>
  <si>
    <t>K1796+804-K1796+694</t>
  </si>
  <si>
    <t>昆石-K56.206大渡口3号大桥</t>
  </si>
  <si>
    <t>K1796+697-K1796+587</t>
  </si>
  <si>
    <t>K1796+531-K1796+441</t>
  </si>
  <si>
    <t>昆石-K56.453大渡口4号大桥</t>
  </si>
  <si>
    <t>K1796+482-K1796+392</t>
  </si>
  <si>
    <t>K1796+348-K1796+318</t>
  </si>
  <si>
    <t>昆石-K56.667中桥</t>
  </si>
  <si>
    <t>K1796+256-K1796+226</t>
  </si>
  <si>
    <t>K1796+109-K1795+899</t>
  </si>
  <si>
    <t>昆石-K56.928大渡口5号大桥</t>
  </si>
  <si>
    <t>K1796+092-K1795+882</t>
  </si>
  <si>
    <t>K1795+828-K1795+791</t>
  </si>
  <si>
    <t>昆石-K57.189中桥</t>
  </si>
  <si>
    <t>K1795+812-K1795+775</t>
  </si>
  <si>
    <t>K1795+401-K1794+923</t>
  </si>
  <si>
    <t>昆石-K57.642南盘江桥</t>
  </si>
  <si>
    <t>K1795+294-K1794+816</t>
  </si>
  <si>
    <t>K1794+737-K1794+495</t>
  </si>
  <si>
    <t>昆石-K58.278小渡口1号大桥</t>
  </si>
  <si>
    <t>K1794+689-K1794+447</t>
  </si>
  <si>
    <t>K1794+013-K1793+920</t>
  </si>
  <si>
    <t>昆石-K58.970中桥</t>
  </si>
  <si>
    <t>K1793+952-K1794+045</t>
  </si>
  <si>
    <t>K1793+743-K1793+614</t>
  </si>
  <si>
    <t>昆石-K59.309小渡口2号大桥</t>
  </si>
  <si>
    <t>K1793+646-K1793+775</t>
  </si>
  <si>
    <t>K1792+558-K1792+359</t>
  </si>
  <si>
    <t>昆石-K60.445小渡口3号大桥</t>
  </si>
  <si>
    <t>K1792+552-K1792+353</t>
  </si>
  <si>
    <t>昆石-K60.445小渡口3号大桥上行</t>
  </si>
  <si>
    <t>K1792+287-K1792+256</t>
  </si>
  <si>
    <t>昆石-K60.700中桥</t>
  </si>
  <si>
    <t>K1792+258-K1792+227</t>
  </si>
  <si>
    <t>昆石-K60.700中桥上行</t>
  </si>
  <si>
    <t>K1791+991-K1791+704</t>
  </si>
  <si>
    <t>昆石-K61.000小渡口4号大桥</t>
  </si>
  <si>
    <t>K1791+970-K1791+720</t>
  </si>
  <si>
    <t>昆石-K61.000小渡口4号大桥上行</t>
  </si>
  <si>
    <t>K1791+256-K1790+480</t>
  </si>
  <si>
    <t>昆石-K61.560木喳箐1号大桥</t>
  </si>
  <si>
    <t>K1791+235-K1790+580</t>
  </si>
  <si>
    <t>昆石-K61.560木喳箐1号大桥上行</t>
  </si>
  <si>
    <t>K1790+727-K1790+112</t>
  </si>
  <si>
    <t>昆石-K62.550木喳箐2号大桥</t>
  </si>
  <si>
    <t>K1790+718-K1790+152</t>
  </si>
  <si>
    <t>昆石-K62.550木喳箐2号大桥上行</t>
  </si>
  <si>
    <t>K1790+405-K1790+245</t>
  </si>
  <si>
    <t>昆石-K62.967木喳箐3号中桥</t>
  </si>
  <si>
    <t>K1790+364-K1790+294</t>
  </si>
  <si>
    <t>昆石-K62.967木喳箐3号中桥上行</t>
  </si>
  <si>
    <t>K1789+799-K1789+602</t>
  </si>
  <si>
    <t>昆石-K63.200木喳箐4号大桥</t>
  </si>
  <si>
    <t>K1789+791-K1789+575</t>
  </si>
  <si>
    <t>昆石-K63.200木喳箐4号大桥上行</t>
  </si>
  <si>
    <t>K1789+491-K1789+337</t>
  </si>
  <si>
    <t>昆石-K63+445铺子底水库大桥</t>
  </si>
  <si>
    <t>K1789+478-K1789+351</t>
  </si>
  <si>
    <t>昆石-K63.445铺子底水库大桥下行</t>
  </si>
  <si>
    <t>K1788+821-K1788+789</t>
  </si>
  <si>
    <t>昆石-K64.200中桥</t>
  </si>
  <si>
    <t>二波板护栏</t>
  </si>
  <si>
    <t>昆石-K64.200中桥下行</t>
  </si>
  <si>
    <t>三波板护栏</t>
  </si>
  <si>
    <t>K1788+187-K1787+739</t>
  </si>
  <si>
    <t>昆石-K64.765新发村大桥</t>
  </si>
  <si>
    <t>K1788+150-K1787+702</t>
  </si>
  <si>
    <t>昆石-K64.765新发村大桥上行</t>
  </si>
  <si>
    <t>K1787+179-K1787+046</t>
  </si>
  <si>
    <t>昆石-K65.750沙地坡水库大桥</t>
  </si>
  <si>
    <t>K1787+132-K1787+013</t>
  </si>
  <si>
    <t>昆石-K65.750沙地坡水库大桥上行</t>
  </si>
  <si>
    <t>K1786+832-K1786+675</t>
  </si>
  <si>
    <t>昆石-K66+155七星村1号大桥</t>
  </si>
  <si>
    <t>K1786+790-K1786+633</t>
  </si>
  <si>
    <t>昆石-K66+155七星村1号大桥（上行）</t>
  </si>
  <si>
    <t>K1786+222-K1786+067</t>
  </si>
  <si>
    <t>昆石-K66+730七星村2号大桥</t>
  </si>
  <si>
    <t>K1786+196-K1786+038</t>
  </si>
  <si>
    <t>昆石-K66+730七星村2号大桥（上行）</t>
  </si>
  <si>
    <t>K1784+536-K1784+350</t>
  </si>
  <si>
    <t>昆石-K68.425青山村水库桥</t>
  </si>
  <si>
    <t>K1784+489-K1784+303</t>
  </si>
  <si>
    <t>昆石-K68.425青山村水库桥（上行）</t>
  </si>
  <si>
    <t>K1784+255-K1784+224</t>
  </si>
  <si>
    <t>昆石-K68.537小桥</t>
  </si>
  <si>
    <t>K1784+250-K1784+219</t>
  </si>
  <si>
    <t>K1783+433-K1783+327</t>
  </si>
  <si>
    <t>昆石-K69.749中桥</t>
  </si>
  <si>
    <t>K1783+392-K1783+298</t>
  </si>
  <si>
    <t>K1782+130-K1781+638</t>
  </si>
  <si>
    <t>昆石-K71.450官山水库桥</t>
  </si>
  <si>
    <t>K1782+123-K1781+667</t>
  </si>
  <si>
    <t>昆石-K71+450大桥官山水库桥</t>
  </si>
  <si>
    <t>K1779+143-K1788+769</t>
  </si>
  <si>
    <t>昆石-K73.625石林大桥</t>
  </si>
  <si>
    <t>K1778+881-K1788+508</t>
  </si>
  <si>
    <r>
      <rPr>
        <sz val="11"/>
        <rFont val="宋体"/>
        <charset val="134"/>
      </rPr>
      <t>半截河匝</t>
    </r>
    <r>
      <rPr>
        <sz val="11"/>
        <rFont val="Times New Roman"/>
        <charset val="134"/>
      </rPr>
      <t>BK0+423</t>
    </r>
  </si>
  <si>
    <t>半截河立交联络线</t>
  </si>
  <si>
    <t>昆石-匝BK0+432半截河立交联络线</t>
  </si>
  <si>
    <t>K76+126-K76+060</t>
  </si>
  <si>
    <t>昆石-K76+126</t>
  </si>
  <si>
    <t>K76+570-K76+535</t>
  </si>
  <si>
    <t>昆石-K76+570</t>
  </si>
  <si>
    <t>K77+245-K77+149</t>
  </si>
  <si>
    <t>昆石-K77+245</t>
  </si>
  <si>
    <r>
      <rPr>
        <sz val="14"/>
        <rFont val="Times New Roman"/>
        <charset val="134"/>
      </rPr>
      <t>K0+560</t>
    </r>
    <r>
      <rPr>
        <sz val="14"/>
        <rFont val="宋体"/>
        <charset val="134"/>
      </rPr>
      <t>小桥</t>
    </r>
  </si>
  <si>
    <t>昆石-半截河立交联络线K0+560小桥</t>
  </si>
  <si>
    <r>
      <rPr>
        <sz val="14"/>
        <rFont val="Times New Roman"/>
        <charset val="134"/>
      </rPr>
      <t>K0+971</t>
    </r>
    <r>
      <rPr>
        <sz val="14"/>
        <rFont val="宋体"/>
        <charset val="134"/>
      </rPr>
      <t>中桥</t>
    </r>
  </si>
  <si>
    <t>昆石-半截河立交联络线K0+790中桥</t>
  </si>
  <si>
    <t>K1846+146</t>
  </si>
  <si>
    <t>昆石-小石坝立交匝A大桥</t>
  </si>
  <si>
    <t>K1845+934</t>
  </si>
  <si>
    <t>昆石-小石坝立交B匝大桥</t>
  </si>
  <si>
    <t>K1845+655</t>
  </si>
  <si>
    <t>昆石-小石坝立交C匝大桥</t>
  </si>
  <si>
    <t>K1770+951-K1771+150</t>
  </si>
  <si>
    <t>北大村特大桥K34+342</t>
  </si>
  <si>
    <t>K1771+084-K1772+305</t>
  </si>
  <si>
    <r>
      <rPr>
        <sz val="16"/>
        <rFont val="宋体"/>
        <charset val="134"/>
      </rPr>
      <t>匝</t>
    </r>
    <r>
      <rPr>
        <sz val="16"/>
        <rFont val="Times New Roman"/>
        <charset val="134"/>
      </rPr>
      <t xml:space="preserve"> EK1+105</t>
    </r>
  </si>
  <si>
    <t>进站方向</t>
  </si>
  <si>
    <t>北大村立交匝EK1+105桥</t>
  </si>
  <si>
    <t>出站方向</t>
  </si>
  <si>
    <t>K1772+343-K1772+257</t>
  </si>
  <si>
    <t>北大村立交主线桥K35+640桥</t>
  </si>
  <si>
    <t>K1772+444-K1772+358</t>
  </si>
  <si>
    <t>K1772+452-K1772+366</t>
  </si>
  <si>
    <t>北大村立交匝道桥ZAK+293桥</t>
  </si>
  <si>
    <t>K1773+290-K1773+027</t>
  </si>
  <si>
    <t>西石-K36+601.5大桥</t>
  </si>
  <si>
    <t>K1773+396-K1772+104</t>
  </si>
  <si>
    <t>K1775+693-K1775+503</t>
  </si>
  <si>
    <t>西石-K39+012大桥</t>
  </si>
  <si>
    <t>K1775+845-K1775+686</t>
  </si>
  <si>
    <t>K1776+608-K1776+219</t>
  </si>
  <si>
    <t>石林立交匝道桥AK0+964</t>
  </si>
  <si>
    <t>数量合计m</t>
  </si>
  <si>
    <t>填表：                                复核：                                审核：</t>
  </si>
  <si>
    <t>说明：1.起止桩号：填写养护桩号，按照路线里程桩号递增方向顺序填写，按桥梁长度为填写单元。2.位置：上行线、下行线。3.护栏设置形式：路侧桥梁护栏、中央分隔带桥梁护栏。 4.路侧桥梁护栏撞等级：B级、A级、SB级、SA级、SS级，中央分隔带桥梁护栏防撞等级：Am级、SBm级、Sam级。5.护栏型式：钢筋混凝土墙式、梁柱式刚性护栏、金属梁柱式半刚性护栏、组合式护栏。6.构造分类：F型、单坡型、加强型。7.新增及专项改造工程所增设桥梁护栏按里程桩号顺序加入表格，在备注栏注明并简述工程概况（设置的目的，施工的依据、工期、质量及达到的效果等描述）。</t>
  </si>
  <si>
    <t>防眩型式</t>
  </si>
  <si>
    <t>防眩设施高度m</t>
  </si>
  <si>
    <t>防眩板宽度cm</t>
  </si>
  <si>
    <t>防眩板间距cm</t>
  </si>
  <si>
    <t>防眩板数量（块）</t>
  </si>
  <si>
    <t>备  注</t>
  </si>
  <si>
    <t>K1846+000-K1848+720</t>
  </si>
  <si>
    <t>防眩板</t>
  </si>
  <si>
    <t>昆石高速</t>
  </si>
  <si>
    <t>K1845+240-K1845+165</t>
  </si>
  <si>
    <t>K1845+045-K1845+020</t>
  </si>
  <si>
    <t>K1844+630-K1844+570</t>
  </si>
  <si>
    <t>K1842+805-K1842+745</t>
  </si>
  <si>
    <t>K1842+265-K1842+220</t>
  </si>
  <si>
    <t>K1840+500-K1840+440</t>
  </si>
  <si>
    <t>K1839+820-K1839+810</t>
  </si>
  <si>
    <t>K1836+715-K1836+775</t>
  </si>
  <si>
    <t>K1836+630-1836+600</t>
  </si>
  <si>
    <t>K1834+730-K1834+690</t>
  </si>
  <si>
    <t>K1829+670-K1829+625</t>
  </si>
  <si>
    <t>K1829+210-K1829+150</t>
  </si>
  <si>
    <t>K1826+204-K1824+354</t>
  </si>
  <si>
    <t>K1822+900-K1822+840</t>
  </si>
  <si>
    <t>K1819+900-K1819+840</t>
  </si>
  <si>
    <t>K1819+525-K1819-475</t>
  </si>
  <si>
    <t>K1818+500-K1818+425</t>
  </si>
  <si>
    <t>K1817+925-K1817+501</t>
  </si>
  <si>
    <t>K1817+186-K1817+126</t>
  </si>
  <si>
    <t>K1816+550-K1816+250</t>
  </si>
  <si>
    <t>K1810+250-K1810+220</t>
  </si>
  <si>
    <t>K1809+880-K1809+850</t>
  </si>
  <si>
    <t>K1809+565-K1809+505</t>
  </si>
  <si>
    <t>K1809+430-K1809+415</t>
  </si>
  <si>
    <t>K1809+205-K1809+195</t>
  </si>
  <si>
    <t>K1808+745-K1808+725</t>
  </si>
  <si>
    <t>K1807+565-K1807+505</t>
  </si>
  <si>
    <t>K1805+700-K1805+650</t>
  </si>
  <si>
    <t>K1805+500-K1805+440</t>
  </si>
  <si>
    <t>K1805+280-K1805+000</t>
  </si>
  <si>
    <t>K1803+850-K1803+700</t>
  </si>
  <si>
    <t>K1803+240-K1802+280</t>
  </si>
  <si>
    <t>K1802+120-K1800+700</t>
  </si>
  <si>
    <t>K1800+450-K1800+405</t>
  </si>
  <si>
    <t>K1798+790-K1798+730</t>
  </si>
  <si>
    <t>K1796+390-K1796+330</t>
  </si>
  <si>
    <t>K1795+790-K1795+770</t>
  </si>
  <si>
    <t>K1795+545-K1795+065</t>
  </si>
  <si>
    <t>K1794+850-K1794+595</t>
  </si>
  <si>
    <t>K1794+535-K1794+475</t>
  </si>
  <si>
    <t>K1793+955-K1785+240</t>
  </si>
  <si>
    <t>K1783+900-K1783+840</t>
  </si>
  <si>
    <t>K1782+000-K1781+940</t>
  </si>
  <si>
    <t>K1780+775-K1780+715</t>
  </si>
  <si>
    <t>K1779+400-K1779+345</t>
  </si>
  <si>
    <t>K76+155-K76+100</t>
  </si>
  <si>
    <t>K77+085-K77+160</t>
  </si>
  <si>
    <t>K77+580-K77+610</t>
  </si>
  <si>
    <t>K1776+225-K1770+495</t>
  </si>
  <si>
    <t>K1768+750-K1768+705</t>
  </si>
  <si>
    <t>K1765+300-K1765+255</t>
  </si>
  <si>
    <t>K1762+765-K1762+705</t>
  </si>
  <si>
    <t>K1760+090-K1760+075</t>
  </si>
  <si>
    <t>K1759+220-K1760+255</t>
  </si>
  <si>
    <t>路侧</t>
  </si>
  <si>
    <t>数量合计（块）</t>
  </si>
  <si>
    <t>填表：                                复核：                               审核：</t>
  </si>
  <si>
    <t xml:space="preserve">说明：1.起止桩号：填写养护桩号，按照路线里程桩号递增方向顺序填写，以1000米为填写单元。2.防眩型式：防眩板、防眩网、植树防眩。3.新增及专项改造工程所增设防眩设施按里程桩号顺序加入表格，在备注栏注明并简述工程概况（设置的目的，施工的依据、工期、质量及达到的效果等描述）。 </t>
  </si>
  <si>
    <t>分类</t>
  </si>
  <si>
    <t>高度m</t>
  </si>
  <si>
    <t>每块规格尺寸</t>
  </si>
  <si>
    <t>绿色隔离栅</t>
  </si>
  <si>
    <t>K1849+900-K1849+873</t>
  </si>
  <si>
    <t>1.75×3</t>
  </si>
  <si>
    <t>K1846+860-K1846+574</t>
  </si>
  <si>
    <t>K1846+440-1846+004</t>
  </si>
  <si>
    <t>K1844+900-K1843+940</t>
  </si>
  <si>
    <t>K1844+860-K1843+940</t>
  </si>
  <si>
    <t>K1844+860-K1844+680</t>
  </si>
  <si>
    <t>K1842+000-K1840+900</t>
  </si>
  <si>
    <t>K1836+310-K1835+800</t>
  </si>
  <si>
    <t>K1824+600-K1822+680</t>
  </si>
  <si>
    <t>K1822+800-K1822+680</t>
  </si>
  <si>
    <t>K1819+800-K1819+400</t>
  </si>
  <si>
    <t>K1819+400-K1819+172</t>
  </si>
  <si>
    <t>K1819+400-1818+100</t>
  </si>
  <si>
    <t>K1812+440-K1810+950</t>
  </si>
  <si>
    <t>K1811+700-K1812+270</t>
  </si>
  <si>
    <t>K1812+020-K1811+540</t>
  </si>
  <si>
    <t>K1797+640-K1796+986</t>
  </si>
  <si>
    <t>K1776+200-K1776+110</t>
  </si>
  <si>
    <t>K1846+340-K1846+004</t>
  </si>
  <si>
    <t>K1844+700-K1844+131</t>
  </si>
  <si>
    <t>K1819+520-K1819+300</t>
  </si>
  <si>
    <t>K1811+940-K1811+744</t>
  </si>
  <si>
    <t>K1810+907-K1810+640</t>
  </si>
  <si>
    <t>K1789+250-K1789+160</t>
  </si>
  <si>
    <t>K1776+186-K1776+110</t>
  </si>
  <si>
    <t>经济开发区下行出口</t>
  </si>
  <si>
    <t>立交区</t>
  </si>
  <si>
    <t>经济开发区下行入口</t>
  </si>
  <si>
    <t>经济开发区上行出口</t>
  </si>
  <si>
    <t>王家营收费站下行出口</t>
  </si>
  <si>
    <t>王家营收费站上行出口</t>
  </si>
  <si>
    <t>松茂收费站下行出口</t>
  </si>
  <si>
    <t>松茂收费站下行入口</t>
  </si>
  <si>
    <t>松茂收费站上行出口</t>
  </si>
  <si>
    <t>松茂收费站上行入口</t>
  </si>
  <si>
    <t>阳宗收费站下行出口</t>
  </si>
  <si>
    <t>阳宗收费站下行入口</t>
  </si>
  <si>
    <t>阳宗收费站上行出口</t>
  </si>
  <si>
    <t>阳宗收费站上行入口</t>
  </si>
  <si>
    <t>草甸收费站下行出口</t>
  </si>
  <si>
    <t>草甸收费站下行入口</t>
  </si>
  <si>
    <t>草甸收费站上行出口</t>
  </si>
  <si>
    <t>草甸收费站上行入口</t>
  </si>
  <si>
    <t>宜良收费站下行出口</t>
  </si>
  <si>
    <t>宜良收费站下行入口</t>
  </si>
  <si>
    <t>宜良收费站上行出口</t>
  </si>
  <si>
    <t>宜良收费站上行入口</t>
  </si>
  <si>
    <t>半截河收费站下行出口</t>
  </si>
  <si>
    <t>半截河收费站上行入口</t>
  </si>
  <si>
    <t>石林收费站下行出口</t>
  </si>
  <si>
    <t>石林收费站上行入口</t>
  </si>
  <si>
    <t>K1771+000-K1772+000</t>
  </si>
  <si>
    <t>北大村立交</t>
  </si>
  <si>
    <t>K1845+300-K1845+500</t>
  </si>
  <si>
    <t>上跨桥梁护网</t>
  </si>
  <si>
    <t>K1847+137</t>
  </si>
  <si>
    <t>上跨桥</t>
  </si>
  <si>
    <t>1.6*2</t>
  </si>
  <si>
    <t>K1846+397</t>
  </si>
  <si>
    <t>1.75*3</t>
  </si>
  <si>
    <t>K1845+105</t>
  </si>
  <si>
    <t>K1845+030</t>
  </si>
  <si>
    <t>上垮桥梁护网</t>
  </si>
  <si>
    <t>K1826+144</t>
  </si>
  <si>
    <t>3*1.75</t>
  </si>
  <si>
    <t>K1833+200</t>
  </si>
  <si>
    <t>2.5*1.7</t>
  </si>
  <si>
    <t>K1800+000</t>
  </si>
  <si>
    <t>K1784+800</t>
  </si>
  <si>
    <t>2*1.6</t>
  </si>
  <si>
    <t>K1784+150</t>
  </si>
  <si>
    <t>K1810+700</t>
  </si>
  <si>
    <t>K1811+300</t>
  </si>
  <si>
    <t>K1842+000</t>
  </si>
  <si>
    <t>护栏形式</t>
  </si>
  <si>
    <r>
      <rPr>
        <sz val="10"/>
        <color indexed="8"/>
        <rFont val="宋体"/>
        <charset val="134"/>
      </rPr>
      <t>高度(</t>
    </r>
    <r>
      <rPr>
        <sz val="10"/>
        <color indexed="8"/>
        <rFont val="宋体"/>
        <charset val="134"/>
      </rPr>
      <t>m)</t>
    </r>
  </si>
  <si>
    <r>
      <rPr>
        <sz val="10"/>
        <color indexed="8"/>
        <rFont val="宋体"/>
        <charset val="134"/>
      </rPr>
      <t>长度(</t>
    </r>
    <r>
      <rPr>
        <sz val="10"/>
        <color indexed="8"/>
        <rFont val="宋体"/>
        <charset val="134"/>
      </rPr>
      <t>m)</t>
    </r>
  </si>
  <si>
    <t>K1826+144-K1824+354</t>
  </si>
  <si>
    <t>混凝土护栏</t>
  </si>
  <si>
    <t>K1825+550-K1824+750</t>
  </si>
  <si>
    <t>K1821+535-K1821+100</t>
  </si>
  <si>
    <t>K1792+110-K1792+410</t>
  </si>
  <si>
    <t>K1776+240-K1776+722</t>
  </si>
  <si>
    <t>数量合计（m）</t>
  </si>
  <si>
    <t>填表：                                复核：                               审核:</t>
  </si>
  <si>
    <t>说明：1.起止桩号：填写养护桩号，要求按路线里程桩号递增方向顺序填写；2.护栏形式：插拔式、伸缩式、充填式。3.新增及专项改造工程所增工程按里程桩号顺序加入表格，在备注栏注明并简述工程概况（设置的目的，施工的依据、工期、质量及达到的效果等描述）。</t>
  </si>
  <si>
    <t>起止里程桩号</t>
  </si>
  <si>
    <t>标线种类</t>
  </si>
  <si>
    <t>标线厚度mm</t>
  </si>
  <si>
    <r>
      <rPr>
        <sz val="10"/>
        <color indexed="8"/>
        <rFont val="宋体"/>
        <charset val="134"/>
      </rPr>
      <t>标线数量m</t>
    </r>
    <r>
      <rPr>
        <vertAlign val="superscript"/>
        <sz val="10"/>
        <color indexed="8"/>
        <rFont val="宋体"/>
        <charset val="134"/>
      </rPr>
      <t>2</t>
    </r>
  </si>
  <si>
    <t>突起路标数量（个）</t>
  </si>
  <si>
    <t>K1852+000-K1776+503</t>
  </si>
  <si>
    <t>热熔型</t>
  </si>
  <si>
    <t>K0+000-K2+040</t>
  </si>
  <si>
    <t>汕昆高速支线S610</t>
  </si>
  <si>
    <t>K1776+503-K1759+220</t>
  </si>
  <si>
    <t>数量合计</t>
  </si>
  <si>
    <t>填表：                                复核：                                审核:</t>
  </si>
  <si>
    <t xml:space="preserve">说明：1.起止里程桩号：填写养护桩号，要求按路线里程桩号递增方向顺序填写；以1000米为填写单元。2.位置：上行线、下行线、立交区、服务区、停车区、收费广场等。3.标线种类：溶剂型、热熔型（普通型、反光型、突起型）、双组分、水性、树脂防滑型、预成型标线带标线。3.新增及专项改造工程所增工程按里程桩号顺序加入表格，在备注栏注明并简述工程概况（设置的目的，施工的依据、工期、质量及达到的效果等描述）。 </t>
  </si>
  <si>
    <t>设置型式</t>
  </si>
  <si>
    <t>反射体颜色</t>
  </si>
  <si>
    <t>数量（个）</t>
  </si>
  <si>
    <t>白色</t>
  </si>
  <si>
    <t>里程牌1公里/1块，百米桩1公里/9个</t>
  </si>
  <si>
    <t>说明：1.起止桩号栏所填为养护桩号，要求按路线里程桩号递增方向顺序填写，以1000米为填写单元。2.位置：上行线、下行线、立交区等。3.设置型式：柱式、附着式。4.反射体颜色：白色、黄色。5.新增及专项改造工程所增工程按里程桩号顺序加入表格，在备注栏注明并简述工程概况（设置的目的，施工的依据、工期、质量及达到的效果等描述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</si>
</sst>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k0\+000.00"/>
    <numFmt numFmtId="178" formatCode="0.000_ "/>
    <numFmt numFmtId="179" formatCode="0.00_ "/>
    <numFmt numFmtId="180" formatCode="\K0\+000.00"/>
    <numFmt numFmtId="181" formatCode="\K0000\+000"/>
    <numFmt numFmtId="182" formatCode="\K####\+###"/>
  </numFmts>
  <fonts count="43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  <scheme val="minor"/>
    </font>
    <font>
      <sz val="9"/>
      <name val="宋体"/>
      <charset val="134"/>
    </font>
    <font>
      <sz val="12"/>
      <name val="Times New Roman"/>
      <charset val="134"/>
    </font>
    <font>
      <sz val="11"/>
      <color rgb="FFFF0000"/>
      <name val="宋体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6"/>
      <name val="Times New Roman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vertAlign val="superscript"/>
      <sz val="10"/>
      <color indexed="8"/>
      <name val="宋体"/>
      <charset val="134"/>
    </font>
    <font>
      <sz val="16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4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5" borderId="14" applyNumberFormat="0" applyAlignment="0" applyProtection="0">
      <alignment vertical="center"/>
    </xf>
    <xf numFmtId="0" fontId="30" fillId="6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0" borderId="0"/>
    <xf numFmtId="0" fontId="39" fillId="0" borderId="0" applyBorder="0">
      <alignment vertical="center"/>
    </xf>
    <xf numFmtId="0" fontId="39" fillId="0" borderId="0"/>
  </cellStyleXfs>
  <cellXfs count="1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6" applyFont="1" applyBorder="1" applyAlignment="1" applyProtection="1">
      <alignment horizontal="center" vertical="center" wrapText="1"/>
    </xf>
    <xf numFmtId="3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6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57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2" borderId="2" xfId="6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52" applyFont="1" applyBorder="1" applyAlignment="1">
      <alignment horizontal="center" vertical="center" wrapText="1" readingOrder="1"/>
    </xf>
    <xf numFmtId="0" fontId="2" fillId="2" borderId="2" xfId="52" applyFont="1" applyFill="1" applyBorder="1" applyAlignment="1">
      <alignment horizontal="center" vertical="center" wrapText="1" readingOrder="1"/>
    </xf>
    <xf numFmtId="0" fontId="7" fillId="2" borderId="2" xfId="52" applyFont="1" applyFill="1" applyBorder="1" applyAlignment="1">
      <alignment horizontal="center" vertical="center" wrapText="1" readingOrder="1"/>
    </xf>
    <xf numFmtId="0" fontId="6" fillId="2" borderId="0" xfId="52" applyFont="1" applyFill="1" applyBorder="1" applyAlignment="1">
      <alignment horizontal="center" vertical="center" wrapText="1" readingOrder="1"/>
    </xf>
    <xf numFmtId="177" fontId="2" fillId="2" borderId="2" xfId="51" applyNumberFormat="1" applyFont="1" applyFill="1" applyBorder="1" applyAlignment="1" applyProtection="1">
      <alignment horizontal="center" vertical="center" wrapText="1"/>
      <protection locked="0"/>
    </xf>
    <xf numFmtId="177" fontId="8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8" fontId="10" fillId="0" borderId="2" xfId="52" applyNumberFormat="1" applyFont="1" applyFill="1" applyBorder="1" applyAlignment="1">
      <alignment horizontal="center" vertical="center" readingOrder="1"/>
    </xf>
    <xf numFmtId="0" fontId="8" fillId="0" borderId="2" xfId="0" applyFont="1" applyFill="1" applyBorder="1">
      <alignment vertical="center"/>
    </xf>
    <xf numFmtId="31" fontId="2" fillId="0" borderId="2" xfId="0" applyNumberFormat="1" applyFont="1" applyFill="1" applyBorder="1" applyAlignment="1">
      <alignment horizontal="center" vertical="center" wrapText="1"/>
    </xf>
    <xf numFmtId="0" fontId="2" fillId="0" borderId="2" xfId="50" applyFont="1" applyFill="1" applyBorder="1" applyAlignment="1">
      <alignment horizontal="center" vertical="center" shrinkToFit="1"/>
    </xf>
    <xf numFmtId="57" fontId="9" fillId="0" borderId="2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0" borderId="2" xfId="52" applyFont="1" applyFill="1" applyBorder="1" applyAlignment="1">
      <alignment horizontal="center" vertical="center" readingOrder="1"/>
    </xf>
    <xf numFmtId="0" fontId="12" fillId="0" borderId="2" xfId="52" applyFont="1" applyFill="1" applyBorder="1" applyAlignment="1">
      <alignment horizontal="center" vertical="center" readingOrder="1"/>
    </xf>
    <xf numFmtId="0" fontId="5" fillId="0" borderId="2" xfId="50" applyFont="1" applyFill="1" applyBorder="1" applyAlignment="1">
      <alignment horizontal="center" vertical="center" shrinkToFit="1"/>
    </xf>
    <xf numFmtId="0" fontId="12" fillId="2" borderId="2" xfId="52" applyFont="1" applyFill="1" applyBorder="1" applyAlignment="1">
      <alignment horizontal="center" vertical="center" readingOrder="1"/>
    </xf>
    <xf numFmtId="0" fontId="8" fillId="2" borderId="2" xfId="0" applyFont="1" applyFill="1" applyBorder="1">
      <alignment vertical="center"/>
    </xf>
    <xf numFmtId="31" fontId="2" fillId="2" borderId="2" xfId="0" applyNumberFormat="1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 shrinkToFit="1"/>
    </xf>
    <xf numFmtId="57" fontId="9" fillId="2" borderId="2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0" fillId="0" borderId="2" xfId="52" applyFont="1" applyFill="1" applyBorder="1" applyAlignment="1">
      <alignment horizontal="center" vertical="center" wrapText="1" readingOrder="1"/>
    </xf>
    <xf numFmtId="179" fontId="2" fillId="0" borderId="2" xfId="50" applyNumberFormat="1" applyFont="1" applyFill="1" applyBorder="1" applyAlignment="1">
      <alignment horizontal="center" vertical="center" shrinkToFit="1"/>
    </xf>
    <xf numFmtId="0" fontId="2" fillId="0" borderId="2" xfId="52" applyFont="1" applyFill="1" applyBorder="1" applyAlignment="1">
      <alignment horizontal="center" vertical="center" readingOrder="1"/>
    </xf>
    <xf numFmtId="49" fontId="2" fillId="0" borderId="2" xfId="0" applyNumberFormat="1" applyFont="1" applyFill="1" applyBorder="1" applyAlignment="1">
      <alignment horizontal="center" vertical="center" wrapText="1"/>
    </xf>
    <xf numFmtId="178" fontId="12" fillId="0" borderId="2" xfId="52" applyNumberFormat="1" applyFont="1" applyFill="1" applyBorder="1" applyAlignment="1">
      <alignment horizontal="center" vertical="center" readingOrder="1"/>
    </xf>
    <xf numFmtId="0" fontId="13" fillId="0" borderId="2" xfId="52" applyFont="1" applyFill="1" applyBorder="1" applyAlignment="1">
      <alignment horizontal="center" vertical="center" wrapText="1" readingOrder="1"/>
    </xf>
    <xf numFmtId="0" fontId="12" fillId="0" borderId="2" xfId="52" applyFont="1" applyFill="1" applyBorder="1" applyAlignment="1">
      <alignment horizontal="center" vertical="center" wrapText="1" readingOrder="1"/>
    </xf>
    <xf numFmtId="0" fontId="14" fillId="0" borderId="2" xfId="52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15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31" fontId="1" fillId="2" borderId="2" xfId="0" applyNumberFormat="1" applyFont="1" applyFill="1" applyBorder="1" applyAlignment="1">
      <alignment horizontal="center" vertical="center" wrapText="1"/>
    </xf>
    <xf numFmtId="180" fontId="8" fillId="2" borderId="2" xfId="0" applyNumberFormat="1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180" fontId="8" fillId="2" borderId="0" xfId="0" applyNumberFormat="1" applyFont="1" applyFill="1" applyBorder="1" applyAlignment="1" applyProtection="1">
      <alignment vertical="center"/>
      <protection locked="0"/>
    </xf>
    <xf numFmtId="177" fontId="8" fillId="2" borderId="0" xfId="0" applyNumberFormat="1" applyFont="1" applyFill="1" applyBorder="1" applyAlignment="1" applyProtection="1">
      <alignment vertical="center"/>
      <protection locked="0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15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31" fontId="1" fillId="2" borderId="7" xfId="0" applyNumberFormat="1" applyFont="1" applyFill="1" applyBorder="1" applyAlignment="1">
      <alignment horizontal="center" vertical="center" wrapText="1"/>
    </xf>
    <xf numFmtId="0" fontId="0" fillId="2" borderId="0" xfId="0" applyFill="1" applyBorder="1">
      <alignment vertical="center"/>
    </xf>
    <xf numFmtId="0" fontId="0" fillId="2" borderId="0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5" fillId="0" borderId="0" xfId="0" applyFont="1" applyAlignment="1">
      <alignment horizontal="left" vertical="center" wrapText="1"/>
    </xf>
    <xf numFmtId="0" fontId="0" fillId="0" borderId="0" xfId="0" applyBorder="1">
      <alignment vertical="center"/>
    </xf>
    <xf numFmtId="0" fontId="18" fillId="2" borderId="0" xfId="0" applyFont="1" applyFill="1">
      <alignment vertical="center"/>
    </xf>
    <xf numFmtId="0" fontId="0" fillId="0" borderId="0" xfId="0" applyFill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center" vertical="center" wrapText="1"/>
    </xf>
    <xf numFmtId="182" fontId="2" fillId="2" borderId="2" xfId="6" applyNumberFormat="1" applyFont="1" applyFill="1" applyBorder="1" applyAlignment="1" applyProtection="1">
      <alignment horizontal="center" vertical="center" wrapText="1"/>
    </xf>
    <xf numFmtId="182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82" fontId="5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_机电控制价100112" xfId="50"/>
    <cellStyle name="常规 3" xfId="51"/>
    <cellStyle name="常规 6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2"/>
  <sheetViews>
    <sheetView workbookViewId="0">
      <pane ySplit="1" topLeftCell="A2" activePane="bottomLeft" state="frozenSplit"/>
      <selection/>
      <selection pane="bottomLeft" activeCell="A2" sqref="$A2:$XFD9"/>
    </sheetView>
  </sheetViews>
  <sheetFormatPr defaultColWidth="9" defaultRowHeight="14"/>
  <cols>
    <col min="1" max="1" width="5.18181818181818" style="113" customWidth="1"/>
    <col min="2" max="2" width="14.2727272727273" style="113" customWidth="1"/>
    <col min="3" max="3" width="7.90909090909091" style="113" customWidth="1"/>
    <col min="4" max="4" width="12.4545454545455" style="113" customWidth="1"/>
    <col min="5" max="5" width="46.0909090909091" style="113" customWidth="1"/>
    <col min="6" max="6" width="10.6363636363636" style="113" customWidth="1"/>
    <col min="7" max="7" width="15" style="113" customWidth="1"/>
    <col min="8" max="9" width="7.90909090909091" style="113" customWidth="1"/>
    <col min="10" max="10" width="14.8181818181818" style="113" customWidth="1"/>
    <col min="11" max="11" width="7.90909090909091" style="113" customWidth="1"/>
    <col min="12" max="12" width="8.25454545454545" style="113" customWidth="1"/>
    <col min="13" max="13" width="49" style="113" customWidth="1"/>
    <col min="14" max="16384" width="9" style="113"/>
  </cols>
  <sheetData>
    <row r="1" ht="133.5" customHeight="1" spans="1:1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14" t="s">
        <v>9</v>
      </c>
      <c r="K1" s="114" t="s">
        <v>10</v>
      </c>
      <c r="L1" s="114" t="s">
        <v>11</v>
      </c>
      <c r="M1" s="115" t="s">
        <v>12</v>
      </c>
    </row>
    <row r="2" s="17" customFormat="1" ht="21" customHeight="1" spans="1:13">
      <c r="A2" s="116">
        <f>ROW(L2)-1</f>
        <v>1</v>
      </c>
      <c r="B2" s="117">
        <v>1852000</v>
      </c>
      <c r="C2" s="118" t="s">
        <v>13</v>
      </c>
      <c r="D2" s="19" t="s">
        <v>14</v>
      </c>
      <c r="E2" s="118" t="s">
        <v>15</v>
      </c>
      <c r="F2" s="19" t="s">
        <v>16</v>
      </c>
      <c r="G2" s="19"/>
      <c r="H2" s="19"/>
      <c r="I2" s="118" t="s">
        <v>17</v>
      </c>
      <c r="J2" s="58">
        <v>37941</v>
      </c>
      <c r="K2" s="116">
        <f>A2</f>
        <v>1</v>
      </c>
      <c r="L2" s="19"/>
      <c r="M2" s="20"/>
    </row>
    <row r="3" s="17" customFormat="1" ht="21" customHeight="1" spans="1:13">
      <c r="A3" s="116">
        <f>ROW(L3)-1</f>
        <v>2</v>
      </c>
      <c r="B3" s="119">
        <v>1851850</v>
      </c>
      <c r="C3" s="118" t="s">
        <v>13</v>
      </c>
      <c r="D3" s="19" t="s">
        <v>18</v>
      </c>
      <c r="E3" s="118" t="s">
        <v>19</v>
      </c>
      <c r="F3" s="19" t="s">
        <v>16</v>
      </c>
      <c r="G3" s="118"/>
      <c r="H3" s="19"/>
      <c r="I3" s="118" t="s">
        <v>20</v>
      </c>
      <c r="J3" s="58">
        <v>37941</v>
      </c>
      <c r="K3" s="116">
        <f t="shared" ref="K3:K52" si="0">A3</f>
        <v>2</v>
      </c>
      <c r="L3" s="19"/>
      <c r="M3" s="20"/>
    </row>
    <row r="4" s="17" customFormat="1" ht="21" customHeight="1" spans="1:13">
      <c r="A4" s="116">
        <f t="shared" ref="A4:A67" si="1">ROW(L4)-1</f>
        <v>3</v>
      </c>
      <c r="B4" s="119">
        <v>1851550</v>
      </c>
      <c r="C4" s="118" t="s">
        <v>13</v>
      </c>
      <c r="D4" s="19" t="s">
        <v>18</v>
      </c>
      <c r="E4" s="118" t="s">
        <v>21</v>
      </c>
      <c r="F4" s="19" t="s">
        <v>16</v>
      </c>
      <c r="G4" s="118"/>
      <c r="H4" s="19"/>
      <c r="I4" s="118" t="s">
        <v>20</v>
      </c>
      <c r="J4" s="58">
        <v>37941</v>
      </c>
      <c r="K4" s="116">
        <f t="shared" si="0"/>
        <v>3</v>
      </c>
      <c r="L4" s="19"/>
      <c r="M4" s="20"/>
    </row>
    <row r="5" s="17" customFormat="1" ht="21" customHeight="1" spans="1:13">
      <c r="A5" s="116">
        <f t="shared" si="1"/>
        <v>4</v>
      </c>
      <c r="B5" s="119">
        <v>1851380</v>
      </c>
      <c r="C5" s="118" t="s">
        <v>13</v>
      </c>
      <c r="D5" s="19" t="s">
        <v>18</v>
      </c>
      <c r="E5" s="118" t="s">
        <v>22</v>
      </c>
      <c r="F5" s="19" t="s">
        <v>16</v>
      </c>
      <c r="G5" s="118"/>
      <c r="H5" s="19"/>
      <c r="I5" s="118" t="s">
        <v>17</v>
      </c>
      <c r="J5" s="58">
        <v>37941</v>
      </c>
      <c r="K5" s="116">
        <f t="shared" si="0"/>
        <v>4</v>
      </c>
      <c r="L5" s="19"/>
      <c r="M5" s="20"/>
    </row>
    <row r="6" s="17" customFormat="1" ht="21" customHeight="1" spans="1:13">
      <c r="A6" s="116">
        <f t="shared" si="1"/>
        <v>5</v>
      </c>
      <c r="B6" s="119">
        <v>1851330</v>
      </c>
      <c r="C6" s="118" t="s">
        <v>13</v>
      </c>
      <c r="D6" s="19" t="s">
        <v>18</v>
      </c>
      <c r="E6" s="118" t="s">
        <v>23</v>
      </c>
      <c r="F6" s="19" t="s">
        <v>16</v>
      </c>
      <c r="G6" s="118"/>
      <c r="H6" s="19"/>
      <c r="I6" s="118" t="s">
        <v>17</v>
      </c>
      <c r="J6" s="58">
        <v>37941</v>
      </c>
      <c r="K6" s="116">
        <f t="shared" si="0"/>
        <v>5</v>
      </c>
      <c r="L6" s="19"/>
      <c r="M6" s="20"/>
    </row>
    <row r="7" s="17" customFormat="1" ht="21" customHeight="1" spans="1:13">
      <c r="A7" s="116">
        <f t="shared" si="1"/>
        <v>6</v>
      </c>
      <c r="B7" s="119">
        <v>1851280</v>
      </c>
      <c r="C7" s="118" t="s">
        <v>13</v>
      </c>
      <c r="D7" s="19" t="s">
        <v>18</v>
      </c>
      <c r="E7" s="118" t="s">
        <v>24</v>
      </c>
      <c r="F7" s="19" t="s">
        <v>16</v>
      </c>
      <c r="G7" s="118"/>
      <c r="H7" s="19"/>
      <c r="I7" s="118" t="s">
        <v>17</v>
      </c>
      <c r="J7" s="58">
        <v>37941</v>
      </c>
      <c r="K7" s="116">
        <f t="shared" si="0"/>
        <v>6</v>
      </c>
      <c r="L7" s="19"/>
      <c r="M7" s="20"/>
    </row>
    <row r="8" s="17" customFormat="1" ht="21" customHeight="1" spans="1:13">
      <c r="A8" s="116">
        <f t="shared" si="1"/>
        <v>7</v>
      </c>
      <c r="B8" s="119" t="s">
        <v>25</v>
      </c>
      <c r="C8" s="118" t="s">
        <v>13</v>
      </c>
      <c r="D8" s="19" t="s">
        <v>18</v>
      </c>
      <c r="E8" s="118" t="s">
        <v>26</v>
      </c>
      <c r="F8" s="19" t="s">
        <v>16</v>
      </c>
      <c r="G8" s="118"/>
      <c r="H8" s="19"/>
      <c r="I8" s="118" t="s">
        <v>20</v>
      </c>
      <c r="J8" s="58">
        <v>37941</v>
      </c>
      <c r="K8" s="116">
        <f t="shared" si="0"/>
        <v>7</v>
      </c>
      <c r="L8" s="19"/>
      <c r="M8" s="20"/>
    </row>
    <row r="9" s="17" customFormat="1" ht="21" customHeight="1" spans="1:13">
      <c r="A9" s="116">
        <f t="shared" si="1"/>
        <v>8</v>
      </c>
      <c r="B9" s="119">
        <v>1851050</v>
      </c>
      <c r="C9" s="118" t="s">
        <v>13</v>
      </c>
      <c r="D9" s="19" t="s">
        <v>27</v>
      </c>
      <c r="E9" s="118" t="s">
        <v>28</v>
      </c>
      <c r="F9" s="19" t="s">
        <v>16</v>
      </c>
      <c r="G9" s="118"/>
      <c r="H9" s="19"/>
      <c r="I9" s="118" t="s">
        <v>20</v>
      </c>
      <c r="J9" s="58">
        <v>37941</v>
      </c>
      <c r="K9" s="116">
        <f t="shared" si="0"/>
        <v>8</v>
      </c>
      <c r="L9" s="19"/>
      <c r="M9" s="20"/>
    </row>
    <row r="10" s="17" customFormat="1" ht="21" customHeight="1" spans="1:13">
      <c r="A10" s="116">
        <f t="shared" si="1"/>
        <v>9</v>
      </c>
      <c r="B10" s="119">
        <v>1851000</v>
      </c>
      <c r="C10" s="118" t="s">
        <v>13</v>
      </c>
      <c r="D10" s="19" t="s">
        <v>29</v>
      </c>
      <c r="E10" s="118" t="s">
        <v>30</v>
      </c>
      <c r="F10" s="19" t="s">
        <v>31</v>
      </c>
      <c r="G10" s="118" t="s">
        <v>32</v>
      </c>
      <c r="H10" s="19"/>
      <c r="I10" s="118" t="s">
        <v>17</v>
      </c>
      <c r="J10" s="58">
        <v>37941</v>
      </c>
      <c r="K10" s="116">
        <f t="shared" si="0"/>
        <v>9</v>
      </c>
      <c r="L10" s="19"/>
      <c r="M10" s="20"/>
    </row>
    <row r="11" s="17" customFormat="1" ht="21" customHeight="1" spans="1:13">
      <c r="A11" s="116">
        <f t="shared" si="1"/>
        <v>10</v>
      </c>
      <c r="B11" s="119">
        <v>1849850</v>
      </c>
      <c r="C11" s="118" t="s">
        <v>13</v>
      </c>
      <c r="D11" s="19" t="s">
        <v>14</v>
      </c>
      <c r="E11" s="118" t="s">
        <v>33</v>
      </c>
      <c r="F11" s="19" t="s">
        <v>16</v>
      </c>
      <c r="G11" s="118"/>
      <c r="H11" s="19"/>
      <c r="I11" s="118" t="s">
        <v>20</v>
      </c>
      <c r="J11" s="58">
        <v>37941</v>
      </c>
      <c r="K11" s="116">
        <f t="shared" si="0"/>
        <v>10</v>
      </c>
      <c r="L11" s="19"/>
      <c r="M11" s="20"/>
    </row>
    <row r="12" s="17" customFormat="1" ht="21" customHeight="1" spans="1:13">
      <c r="A12" s="116">
        <f t="shared" si="1"/>
        <v>11</v>
      </c>
      <c r="B12" s="119">
        <v>1849750</v>
      </c>
      <c r="C12" s="118" t="s">
        <v>13</v>
      </c>
      <c r="D12" s="19" t="s">
        <v>14</v>
      </c>
      <c r="E12" s="118" t="s">
        <v>34</v>
      </c>
      <c r="F12" s="19" t="s">
        <v>16</v>
      </c>
      <c r="G12" s="118"/>
      <c r="H12" s="19"/>
      <c r="I12" s="118" t="s">
        <v>20</v>
      </c>
      <c r="J12" s="58">
        <v>37941</v>
      </c>
      <c r="K12" s="116">
        <f t="shared" si="0"/>
        <v>11</v>
      </c>
      <c r="L12" s="19"/>
      <c r="M12" s="20"/>
    </row>
    <row r="13" s="17" customFormat="1" ht="21" customHeight="1" spans="1:13">
      <c r="A13" s="116">
        <f t="shared" si="1"/>
        <v>12</v>
      </c>
      <c r="B13" s="119">
        <v>1849650</v>
      </c>
      <c r="C13" s="118" t="s">
        <v>13</v>
      </c>
      <c r="D13" s="19" t="s">
        <v>14</v>
      </c>
      <c r="E13" s="118" t="s">
        <v>35</v>
      </c>
      <c r="F13" s="19" t="s">
        <v>16</v>
      </c>
      <c r="G13" s="118"/>
      <c r="H13" s="19"/>
      <c r="I13" s="118" t="s">
        <v>36</v>
      </c>
      <c r="J13" s="58">
        <v>37941</v>
      </c>
      <c r="K13" s="116">
        <f t="shared" si="0"/>
        <v>12</v>
      </c>
      <c r="L13" s="19"/>
      <c r="M13" s="20"/>
    </row>
    <row r="14" s="17" customFormat="1" ht="21" customHeight="1" spans="1:13">
      <c r="A14" s="116">
        <f t="shared" si="1"/>
        <v>13</v>
      </c>
      <c r="B14" s="119">
        <v>1849800</v>
      </c>
      <c r="C14" s="118" t="s">
        <v>13</v>
      </c>
      <c r="D14" s="19" t="s">
        <v>14</v>
      </c>
      <c r="E14" s="118" t="s">
        <v>37</v>
      </c>
      <c r="F14" s="19" t="s">
        <v>16</v>
      </c>
      <c r="G14" s="118"/>
      <c r="H14" s="19"/>
      <c r="I14" s="118" t="s">
        <v>38</v>
      </c>
      <c r="J14" s="58">
        <v>37941</v>
      </c>
      <c r="K14" s="116">
        <f t="shared" si="0"/>
        <v>13</v>
      </c>
      <c r="L14" s="19"/>
      <c r="M14" s="20"/>
    </row>
    <row r="15" s="17" customFormat="1" ht="21" customHeight="1" spans="1:13">
      <c r="A15" s="116">
        <f t="shared" si="1"/>
        <v>14</v>
      </c>
      <c r="B15" s="119">
        <v>1849900</v>
      </c>
      <c r="C15" s="118" t="s">
        <v>13</v>
      </c>
      <c r="D15" s="19" t="s">
        <v>29</v>
      </c>
      <c r="E15" s="118" t="s">
        <v>39</v>
      </c>
      <c r="F15" s="19" t="s">
        <v>31</v>
      </c>
      <c r="G15" s="118" t="s">
        <v>40</v>
      </c>
      <c r="H15" s="19"/>
      <c r="I15" s="118" t="s">
        <v>17</v>
      </c>
      <c r="J15" s="58">
        <v>37941</v>
      </c>
      <c r="K15" s="116">
        <f t="shared" si="0"/>
        <v>14</v>
      </c>
      <c r="L15" s="19"/>
      <c r="M15" s="20"/>
    </row>
    <row r="16" s="17" customFormat="1" ht="21" customHeight="1" spans="1:13">
      <c r="A16" s="116">
        <f t="shared" si="1"/>
        <v>15</v>
      </c>
      <c r="B16" s="119">
        <v>1849750</v>
      </c>
      <c r="C16" s="118" t="s">
        <v>13</v>
      </c>
      <c r="D16" s="19" t="s">
        <v>14</v>
      </c>
      <c r="E16" s="118" t="s">
        <v>33</v>
      </c>
      <c r="F16" s="19" t="s">
        <v>16</v>
      </c>
      <c r="G16" s="118"/>
      <c r="H16" s="19"/>
      <c r="I16" s="118" t="s">
        <v>20</v>
      </c>
      <c r="J16" s="58">
        <v>37941</v>
      </c>
      <c r="K16" s="116">
        <f t="shared" si="0"/>
        <v>15</v>
      </c>
      <c r="L16" s="19"/>
      <c r="M16" s="20"/>
    </row>
    <row r="17" s="17" customFormat="1" ht="21" customHeight="1" spans="1:13">
      <c r="A17" s="116">
        <f t="shared" si="1"/>
        <v>16</v>
      </c>
      <c r="B17" s="119">
        <v>1849650</v>
      </c>
      <c r="C17" s="118" t="s">
        <v>13</v>
      </c>
      <c r="D17" s="19" t="s">
        <v>14</v>
      </c>
      <c r="E17" s="118" t="s">
        <v>41</v>
      </c>
      <c r="F17" s="19" t="s">
        <v>16</v>
      </c>
      <c r="G17" s="118"/>
      <c r="H17" s="19"/>
      <c r="I17" s="118" t="s">
        <v>20</v>
      </c>
      <c r="J17" s="58">
        <v>37941</v>
      </c>
      <c r="K17" s="116">
        <f t="shared" si="0"/>
        <v>16</v>
      </c>
      <c r="L17" s="19"/>
      <c r="M17" s="20"/>
    </row>
    <row r="18" s="17" customFormat="1" ht="21" customHeight="1" spans="1:13">
      <c r="A18" s="116">
        <f t="shared" si="1"/>
        <v>17</v>
      </c>
      <c r="B18" s="119">
        <v>1848800</v>
      </c>
      <c r="C18" s="118" t="s">
        <v>13</v>
      </c>
      <c r="D18" s="19" t="s">
        <v>14</v>
      </c>
      <c r="E18" s="118" t="s">
        <v>42</v>
      </c>
      <c r="F18" s="19" t="s">
        <v>16</v>
      </c>
      <c r="G18" s="118"/>
      <c r="H18" s="19"/>
      <c r="I18" s="118" t="s">
        <v>20</v>
      </c>
      <c r="J18" s="58">
        <v>37941</v>
      </c>
      <c r="K18" s="116">
        <f t="shared" si="0"/>
        <v>17</v>
      </c>
      <c r="L18" s="19"/>
      <c r="M18" s="20"/>
    </row>
    <row r="19" s="17" customFormat="1" ht="21" customHeight="1" spans="1:13">
      <c r="A19" s="116">
        <f t="shared" si="1"/>
        <v>18</v>
      </c>
      <c r="B19" s="119">
        <v>1848650</v>
      </c>
      <c r="C19" s="118" t="s">
        <v>13</v>
      </c>
      <c r="D19" s="19" t="s">
        <v>14</v>
      </c>
      <c r="E19" s="118" t="s">
        <v>43</v>
      </c>
      <c r="F19" s="19" t="s">
        <v>16</v>
      </c>
      <c r="G19" s="118"/>
      <c r="H19" s="19"/>
      <c r="I19" s="118" t="s">
        <v>20</v>
      </c>
      <c r="J19" s="58">
        <v>37941</v>
      </c>
      <c r="K19" s="116">
        <f t="shared" si="0"/>
        <v>18</v>
      </c>
      <c r="L19" s="19"/>
      <c r="M19" s="20"/>
    </row>
    <row r="20" s="17" customFormat="1" ht="21" customHeight="1" spans="1:13">
      <c r="A20" s="116">
        <f t="shared" si="1"/>
        <v>19</v>
      </c>
      <c r="B20" s="119">
        <v>1847750</v>
      </c>
      <c r="C20" s="118" t="s">
        <v>13</v>
      </c>
      <c r="D20" s="19" t="s">
        <v>14</v>
      </c>
      <c r="E20" s="118" t="s">
        <v>44</v>
      </c>
      <c r="F20" s="19" t="s">
        <v>16</v>
      </c>
      <c r="G20" s="118"/>
      <c r="H20" s="19"/>
      <c r="I20" s="118" t="s">
        <v>20</v>
      </c>
      <c r="J20" s="58">
        <v>37941</v>
      </c>
      <c r="K20" s="116">
        <f t="shared" si="0"/>
        <v>19</v>
      </c>
      <c r="L20" s="19"/>
      <c r="M20" s="20"/>
    </row>
    <row r="21" s="17" customFormat="1" ht="21" customHeight="1" spans="1:13">
      <c r="A21" s="116">
        <f t="shared" si="1"/>
        <v>20</v>
      </c>
      <c r="B21" s="119" t="s">
        <v>45</v>
      </c>
      <c r="C21" s="118" t="s">
        <v>13</v>
      </c>
      <c r="D21" s="19" t="s">
        <v>14</v>
      </c>
      <c r="E21" s="118" t="s">
        <v>46</v>
      </c>
      <c r="F21" s="19" t="s">
        <v>16</v>
      </c>
      <c r="G21" s="118"/>
      <c r="H21" s="19"/>
      <c r="I21" s="118" t="s">
        <v>20</v>
      </c>
      <c r="J21" s="58">
        <v>37941</v>
      </c>
      <c r="K21" s="116">
        <f t="shared" si="0"/>
        <v>20</v>
      </c>
      <c r="L21" s="19"/>
      <c r="M21" s="20"/>
    </row>
    <row r="22" s="17" customFormat="1" ht="21" customHeight="1" spans="1:13">
      <c r="A22" s="116">
        <f t="shared" si="1"/>
        <v>21</v>
      </c>
      <c r="B22" s="119">
        <v>1847550</v>
      </c>
      <c r="C22" s="118" t="s">
        <v>13</v>
      </c>
      <c r="D22" s="19" t="s">
        <v>14</v>
      </c>
      <c r="E22" s="118" t="s">
        <v>47</v>
      </c>
      <c r="F22" s="19" t="s">
        <v>16</v>
      </c>
      <c r="G22" s="118"/>
      <c r="H22" s="19"/>
      <c r="I22" s="118" t="s">
        <v>20</v>
      </c>
      <c r="J22" s="58">
        <v>37941</v>
      </c>
      <c r="K22" s="116">
        <f t="shared" si="0"/>
        <v>21</v>
      </c>
      <c r="L22" s="19"/>
      <c r="M22" s="20"/>
    </row>
    <row r="23" s="17" customFormat="1" ht="21" customHeight="1" spans="1:13">
      <c r="A23" s="116">
        <f t="shared" si="1"/>
        <v>22</v>
      </c>
      <c r="B23" s="119">
        <v>1847450</v>
      </c>
      <c r="C23" s="118" t="s">
        <v>13</v>
      </c>
      <c r="D23" s="19" t="s">
        <v>29</v>
      </c>
      <c r="E23" s="118" t="s">
        <v>48</v>
      </c>
      <c r="F23" s="19" t="s">
        <v>31</v>
      </c>
      <c r="G23" s="118" t="s">
        <v>40</v>
      </c>
      <c r="H23" s="19"/>
      <c r="I23" s="118" t="s">
        <v>17</v>
      </c>
      <c r="J23" s="58">
        <v>37941</v>
      </c>
      <c r="K23" s="116">
        <f t="shared" si="0"/>
        <v>22</v>
      </c>
      <c r="L23" s="19"/>
      <c r="M23" s="20"/>
    </row>
    <row r="24" s="17" customFormat="1" ht="21" customHeight="1" spans="1:13">
      <c r="A24" s="116">
        <f t="shared" si="1"/>
        <v>23</v>
      </c>
      <c r="B24" s="119" t="s">
        <v>49</v>
      </c>
      <c r="C24" s="118" t="s">
        <v>13</v>
      </c>
      <c r="D24" s="19" t="s">
        <v>29</v>
      </c>
      <c r="E24" s="118" t="s">
        <v>50</v>
      </c>
      <c r="F24" s="19" t="s">
        <v>16</v>
      </c>
      <c r="G24" s="118"/>
      <c r="H24" s="19"/>
      <c r="I24" s="118" t="s">
        <v>20</v>
      </c>
      <c r="J24" s="58">
        <v>37941</v>
      </c>
      <c r="K24" s="116">
        <f t="shared" si="0"/>
        <v>23</v>
      </c>
      <c r="L24" s="19"/>
      <c r="M24" s="20"/>
    </row>
    <row r="25" s="17" customFormat="1" ht="21" customHeight="1" spans="1:13">
      <c r="A25" s="116">
        <f t="shared" si="1"/>
        <v>24</v>
      </c>
      <c r="B25" s="119" t="s">
        <v>51</v>
      </c>
      <c r="C25" s="118" t="s">
        <v>13</v>
      </c>
      <c r="D25" s="19" t="s">
        <v>14</v>
      </c>
      <c r="E25" s="118" t="s">
        <v>46</v>
      </c>
      <c r="F25" s="19" t="s">
        <v>16</v>
      </c>
      <c r="G25" s="118"/>
      <c r="H25" s="19"/>
      <c r="I25" s="118" t="s">
        <v>20</v>
      </c>
      <c r="J25" s="58">
        <v>37941</v>
      </c>
      <c r="K25" s="116">
        <f t="shared" si="0"/>
        <v>24</v>
      </c>
      <c r="L25" s="19"/>
      <c r="M25" s="20"/>
    </row>
    <row r="26" s="17" customFormat="1" ht="21" customHeight="1" spans="1:13">
      <c r="A26" s="116">
        <f t="shared" si="1"/>
        <v>25</v>
      </c>
      <c r="B26" s="119" t="s">
        <v>52</v>
      </c>
      <c r="C26" s="118" t="s">
        <v>13</v>
      </c>
      <c r="D26" s="19" t="s">
        <v>29</v>
      </c>
      <c r="E26" s="118" t="s">
        <v>53</v>
      </c>
      <c r="F26" s="19" t="s">
        <v>31</v>
      </c>
      <c r="G26" s="118" t="s">
        <v>40</v>
      </c>
      <c r="H26" s="19"/>
      <c r="I26" s="118" t="s">
        <v>17</v>
      </c>
      <c r="J26" s="58">
        <v>37941</v>
      </c>
      <c r="K26" s="116">
        <f t="shared" si="0"/>
        <v>25</v>
      </c>
      <c r="L26" s="19"/>
      <c r="M26" s="20"/>
    </row>
    <row r="27" s="17" customFormat="1" ht="21" customHeight="1" spans="1:13">
      <c r="A27" s="116">
        <f t="shared" si="1"/>
        <v>26</v>
      </c>
      <c r="B27" s="119" t="s">
        <v>54</v>
      </c>
      <c r="C27" s="118" t="s">
        <v>13</v>
      </c>
      <c r="D27" s="19" t="s">
        <v>14</v>
      </c>
      <c r="E27" s="118" t="s">
        <v>55</v>
      </c>
      <c r="F27" s="19" t="s">
        <v>16</v>
      </c>
      <c r="G27" s="118" t="s">
        <v>56</v>
      </c>
      <c r="H27" s="19"/>
      <c r="I27" s="118" t="s">
        <v>20</v>
      </c>
      <c r="J27" s="58">
        <v>37941</v>
      </c>
      <c r="K27" s="116">
        <f t="shared" si="0"/>
        <v>26</v>
      </c>
      <c r="L27" s="19"/>
      <c r="M27" s="20"/>
    </row>
    <row r="28" s="17" customFormat="1" ht="21" customHeight="1" spans="1:13">
      <c r="A28" s="116">
        <f t="shared" si="1"/>
        <v>27</v>
      </c>
      <c r="B28" s="119">
        <v>1845850</v>
      </c>
      <c r="C28" s="118" t="s">
        <v>13</v>
      </c>
      <c r="D28" s="19" t="s">
        <v>29</v>
      </c>
      <c r="E28" s="118" t="s">
        <v>57</v>
      </c>
      <c r="F28" s="19" t="s">
        <v>31</v>
      </c>
      <c r="G28" s="118" t="s">
        <v>58</v>
      </c>
      <c r="H28" s="19"/>
      <c r="I28" s="118" t="s">
        <v>17</v>
      </c>
      <c r="J28" s="58">
        <v>37941</v>
      </c>
      <c r="K28" s="116">
        <f t="shared" si="0"/>
        <v>27</v>
      </c>
      <c r="L28" s="19"/>
      <c r="M28" s="20"/>
    </row>
    <row r="29" s="17" customFormat="1" ht="21" customHeight="1" spans="1:13">
      <c r="A29" s="116">
        <f t="shared" si="1"/>
        <v>28</v>
      </c>
      <c r="B29" s="119">
        <v>1845840</v>
      </c>
      <c r="C29" s="118" t="s">
        <v>13</v>
      </c>
      <c r="D29" s="19" t="s">
        <v>59</v>
      </c>
      <c r="E29" s="118" t="s">
        <v>60</v>
      </c>
      <c r="F29" s="19" t="s">
        <v>16</v>
      </c>
      <c r="G29" s="118" t="s">
        <v>61</v>
      </c>
      <c r="H29" s="19"/>
      <c r="I29" s="118" t="s">
        <v>36</v>
      </c>
      <c r="J29" s="58">
        <v>37941</v>
      </c>
      <c r="K29" s="116">
        <f t="shared" si="0"/>
        <v>28</v>
      </c>
      <c r="L29" s="19"/>
      <c r="M29" s="20"/>
    </row>
    <row r="30" s="17" customFormat="1" ht="21" customHeight="1" spans="1:13">
      <c r="A30" s="116">
        <f t="shared" si="1"/>
        <v>29</v>
      </c>
      <c r="B30" s="119">
        <v>1845800</v>
      </c>
      <c r="C30" s="118" t="s">
        <v>13</v>
      </c>
      <c r="D30" s="19" t="s">
        <v>14</v>
      </c>
      <c r="E30" s="118" t="s">
        <v>62</v>
      </c>
      <c r="F30" s="19" t="s">
        <v>16</v>
      </c>
      <c r="G30" s="118" t="s">
        <v>61</v>
      </c>
      <c r="H30" s="19"/>
      <c r="I30" s="118" t="s">
        <v>20</v>
      </c>
      <c r="J30" s="58">
        <v>37941</v>
      </c>
      <c r="K30" s="116">
        <f t="shared" si="0"/>
        <v>29</v>
      </c>
      <c r="L30" s="19"/>
      <c r="M30" s="20"/>
    </row>
    <row r="31" s="17" customFormat="1" ht="21" customHeight="1" spans="1:13">
      <c r="A31" s="116">
        <f t="shared" si="1"/>
        <v>30</v>
      </c>
      <c r="B31" s="119" t="s">
        <v>63</v>
      </c>
      <c r="C31" s="118" t="s">
        <v>13</v>
      </c>
      <c r="D31" s="19" t="s">
        <v>29</v>
      </c>
      <c r="E31" s="118" t="s">
        <v>64</v>
      </c>
      <c r="F31" s="19" t="s">
        <v>65</v>
      </c>
      <c r="G31" s="118" t="s">
        <v>58</v>
      </c>
      <c r="H31" s="19"/>
      <c r="I31" s="118" t="s">
        <v>17</v>
      </c>
      <c r="J31" s="58">
        <v>37941</v>
      </c>
      <c r="K31" s="116">
        <f t="shared" si="0"/>
        <v>30</v>
      </c>
      <c r="L31" s="19"/>
      <c r="M31" s="20"/>
    </row>
    <row r="32" s="17" customFormat="1" ht="21" customHeight="1" spans="1:13">
      <c r="A32" s="116">
        <f t="shared" si="1"/>
        <v>31</v>
      </c>
      <c r="B32" s="119" t="s">
        <v>66</v>
      </c>
      <c r="C32" s="118" t="s">
        <v>13</v>
      </c>
      <c r="D32" s="19" t="s">
        <v>14</v>
      </c>
      <c r="E32" s="118" t="s">
        <v>67</v>
      </c>
      <c r="F32" s="19" t="s">
        <v>16</v>
      </c>
      <c r="G32" s="118" t="s">
        <v>56</v>
      </c>
      <c r="H32" s="19"/>
      <c r="I32" s="118" t="s">
        <v>20</v>
      </c>
      <c r="J32" s="58">
        <v>37941</v>
      </c>
      <c r="K32" s="116">
        <f t="shared" si="0"/>
        <v>31</v>
      </c>
      <c r="L32" s="19"/>
      <c r="M32" s="20"/>
    </row>
    <row r="33" s="17" customFormat="1" ht="21" customHeight="1" spans="1:13">
      <c r="A33" s="116">
        <f t="shared" si="1"/>
        <v>32</v>
      </c>
      <c r="B33" s="119" t="s">
        <v>68</v>
      </c>
      <c r="C33" s="118" t="s">
        <v>13</v>
      </c>
      <c r="D33" s="19" t="s">
        <v>69</v>
      </c>
      <c r="E33" s="118" t="s">
        <v>70</v>
      </c>
      <c r="F33" s="19" t="s">
        <v>16</v>
      </c>
      <c r="G33" s="118" t="s">
        <v>71</v>
      </c>
      <c r="H33" s="19"/>
      <c r="I33" s="118" t="s">
        <v>36</v>
      </c>
      <c r="J33" s="58">
        <v>37941</v>
      </c>
      <c r="K33" s="116">
        <f t="shared" si="0"/>
        <v>32</v>
      </c>
      <c r="L33" s="19"/>
      <c r="M33" s="20"/>
    </row>
    <row r="34" s="17" customFormat="1" ht="21" customHeight="1" spans="1:13">
      <c r="A34" s="116">
        <f t="shared" si="1"/>
        <v>33</v>
      </c>
      <c r="B34" s="119">
        <v>1844200</v>
      </c>
      <c r="C34" s="118" t="s">
        <v>13</v>
      </c>
      <c r="D34" s="19" t="s">
        <v>14</v>
      </c>
      <c r="E34" s="118" t="s">
        <v>72</v>
      </c>
      <c r="F34" s="19" t="s">
        <v>16</v>
      </c>
      <c r="G34" s="118" t="s">
        <v>56</v>
      </c>
      <c r="H34" s="19"/>
      <c r="I34" s="118" t="s">
        <v>20</v>
      </c>
      <c r="J34" s="58">
        <v>37941</v>
      </c>
      <c r="K34" s="116">
        <f t="shared" si="0"/>
        <v>33</v>
      </c>
      <c r="L34" s="19"/>
      <c r="M34" s="20"/>
    </row>
    <row r="35" s="17" customFormat="1" ht="21" customHeight="1" spans="1:13">
      <c r="A35" s="116">
        <f t="shared" si="1"/>
        <v>34</v>
      </c>
      <c r="B35" s="119" t="s">
        <v>73</v>
      </c>
      <c r="C35" s="118" t="s">
        <v>13</v>
      </c>
      <c r="D35" s="19" t="s">
        <v>14</v>
      </c>
      <c r="E35" s="118" t="s">
        <v>74</v>
      </c>
      <c r="F35" s="19" t="s">
        <v>16</v>
      </c>
      <c r="G35" s="118" t="s">
        <v>75</v>
      </c>
      <c r="H35" s="19"/>
      <c r="I35" s="118" t="s">
        <v>20</v>
      </c>
      <c r="J35" s="58">
        <v>37941</v>
      </c>
      <c r="K35" s="116">
        <f t="shared" si="0"/>
        <v>34</v>
      </c>
      <c r="L35" s="19"/>
      <c r="M35" s="20"/>
    </row>
    <row r="36" s="17" customFormat="1" ht="21" customHeight="1" spans="1:13">
      <c r="A36" s="116">
        <f t="shared" si="1"/>
        <v>35</v>
      </c>
      <c r="B36" s="119">
        <v>1843900</v>
      </c>
      <c r="C36" s="118" t="s">
        <v>13</v>
      </c>
      <c r="D36" s="19" t="s">
        <v>14</v>
      </c>
      <c r="E36" s="118" t="s">
        <v>76</v>
      </c>
      <c r="F36" s="19" t="s">
        <v>16</v>
      </c>
      <c r="G36" s="118" t="s">
        <v>77</v>
      </c>
      <c r="H36" s="19"/>
      <c r="I36" s="118" t="s">
        <v>20</v>
      </c>
      <c r="J36" s="58">
        <v>37941</v>
      </c>
      <c r="K36" s="116">
        <f t="shared" si="0"/>
        <v>35</v>
      </c>
      <c r="L36" s="19"/>
      <c r="M36" s="20"/>
    </row>
    <row r="37" s="17" customFormat="1" ht="21" customHeight="1" spans="1:13">
      <c r="A37" s="116">
        <f t="shared" si="1"/>
        <v>36</v>
      </c>
      <c r="B37" s="119">
        <v>1843850</v>
      </c>
      <c r="C37" s="118" t="s">
        <v>13</v>
      </c>
      <c r="D37" s="19" t="s">
        <v>14</v>
      </c>
      <c r="E37" s="118" t="s">
        <v>78</v>
      </c>
      <c r="F37" s="19" t="s">
        <v>16</v>
      </c>
      <c r="G37" s="118" t="s">
        <v>56</v>
      </c>
      <c r="H37" s="19"/>
      <c r="I37" s="118" t="s">
        <v>20</v>
      </c>
      <c r="J37" s="58">
        <v>37941</v>
      </c>
      <c r="K37" s="116">
        <f t="shared" si="0"/>
        <v>36</v>
      </c>
      <c r="L37" s="19"/>
      <c r="M37" s="20"/>
    </row>
    <row r="38" s="17" customFormat="1" ht="21" customHeight="1" spans="1:13">
      <c r="A38" s="116">
        <f t="shared" si="1"/>
        <v>37</v>
      </c>
      <c r="B38" s="119">
        <v>1843100</v>
      </c>
      <c r="C38" s="118" t="s">
        <v>13</v>
      </c>
      <c r="D38" s="19" t="s">
        <v>14</v>
      </c>
      <c r="E38" s="118" t="s">
        <v>79</v>
      </c>
      <c r="F38" s="19" t="s">
        <v>16</v>
      </c>
      <c r="G38" s="118" t="s">
        <v>80</v>
      </c>
      <c r="H38" s="19"/>
      <c r="I38" s="118" t="s">
        <v>81</v>
      </c>
      <c r="J38" s="58">
        <v>37941</v>
      </c>
      <c r="K38" s="116">
        <f t="shared" si="0"/>
        <v>37</v>
      </c>
      <c r="L38" s="19"/>
      <c r="M38" s="20"/>
    </row>
    <row r="39" s="17" customFormat="1" ht="21" customHeight="1" spans="1:13">
      <c r="A39" s="116">
        <f t="shared" si="1"/>
        <v>38</v>
      </c>
      <c r="B39" s="119"/>
      <c r="C39" s="118" t="s">
        <v>13</v>
      </c>
      <c r="D39" s="19" t="s">
        <v>82</v>
      </c>
      <c r="E39" s="118" t="s">
        <v>57</v>
      </c>
      <c r="F39" s="19" t="s">
        <v>31</v>
      </c>
      <c r="G39" s="118" t="s">
        <v>40</v>
      </c>
      <c r="H39" s="19"/>
      <c r="I39" s="118" t="s">
        <v>17</v>
      </c>
      <c r="J39" s="58">
        <v>37941</v>
      </c>
      <c r="K39" s="116">
        <f t="shared" si="0"/>
        <v>38</v>
      </c>
      <c r="L39" s="19"/>
      <c r="M39" s="20"/>
    </row>
    <row r="40" s="17" customFormat="1" ht="21" customHeight="1" spans="1:13">
      <c r="A40" s="116">
        <f t="shared" si="1"/>
        <v>39</v>
      </c>
      <c r="B40" s="119"/>
      <c r="C40" s="118" t="s">
        <v>13</v>
      </c>
      <c r="D40" s="19" t="s">
        <v>82</v>
      </c>
      <c r="E40" s="118" t="s">
        <v>64</v>
      </c>
      <c r="F40" s="19" t="s">
        <v>31</v>
      </c>
      <c r="G40" s="118" t="s">
        <v>40</v>
      </c>
      <c r="H40" s="19"/>
      <c r="I40" s="118" t="s">
        <v>17</v>
      </c>
      <c r="J40" s="58">
        <v>37941</v>
      </c>
      <c r="K40" s="116">
        <f t="shared" si="0"/>
        <v>39</v>
      </c>
      <c r="L40" s="19"/>
      <c r="M40" s="20"/>
    </row>
    <row r="41" s="17" customFormat="1" ht="21" customHeight="1" spans="1:13">
      <c r="A41" s="116">
        <f t="shared" si="1"/>
        <v>40</v>
      </c>
      <c r="B41" s="119">
        <v>1842900</v>
      </c>
      <c r="C41" s="118" t="s">
        <v>13</v>
      </c>
      <c r="D41" s="19" t="s">
        <v>59</v>
      </c>
      <c r="E41" s="118" t="s">
        <v>83</v>
      </c>
      <c r="F41" s="19" t="s">
        <v>16</v>
      </c>
      <c r="G41" s="118"/>
      <c r="H41" s="19"/>
      <c r="I41" s="118" t="s">
        <v>38</v>
      </c>
      <c r="J41" s="58">
        <v>37941</v>
      </c>
      <c r="K41" s="116">
        <f t="shared" si="0"/>
        <v>40</v>
      </c>
      <c r="L41" s="19"/>
      <c r="M41" s="20"/>
    </row>
    <row r="42" s="17" customFormat="1" ht="21" customHeight="1" spans="1:13">
      <c r="A42" s="116">
        <f t="shared" si="1"/>
        <v>41</v>
      </c>
      <c r="B42" s="119">
        <v>1842500</v>
      </c>
      <c r="C42" s="118" t="s">
        <v>13</v>
      </c>
      <c r="D42" s="19" t="s">
        <v>14</v>
      </c>
      <c r="E42" s="118" t="s">
        <v>84</v>
      </c>
      <c r="F42" s="19" t="s">
        <v>16</v>
      </c>
      <c r="G42" s="118" t="s">
        <v>77</v>
      </c>
      <c r="H42" s="19"/>
      <c r="I42" s="118" t="s">
        <v>20</v>
      </c>
      <c r="J42" s="58">
        <v>37941</v>
      </c>
      <c r="K42" s="116">
        <f t="shared" si="0"/>
        <v>41</v>
      </c>
      <c r="L42" s="19"/>
      <c r="M42" s="20"/>
    </row>
    <row r="43" s="17" customFormat="1" ht="21" customHeight="1" spans="1:13">
      <c r="A43" s="116">
        <f t="shared" si="1"/>
        <v>42</v>
      </c>
      <c r="B43" s="119">
        <v>1842450</v>
      </c>
      <c r="C43" s="118" t="s">
        <v>13</v>
      </c>
      <c r="D43" s="19" t="s">
        <v>29</v>
      </c>
      <c r="E43" s="118" t="s">
        <v>85</v>
      </c>
      <c r="F43" s="19" t="s">
        <v>16</v>
      </c>
      <c r="G43" s="118"/>
      <c r="H43" s="19"/>
      <c r="I43" s="118" t="s">
        <v>20</v>
      </c>
      <c r="J43" s="58">
        <v>37941</v>
      </c>
      <c r="K43" s="116">
        <f t="shared" si="0"/>
        <v>42</v>
      </c>
      <c r="L43" s="19"/>
      <c r="M43" s="20"/>
    </row>
    <row r="44" s="17" customFormat="1" ht="21" customHeight="1" spans="1:13">
      <c r="A44" s="116">
        <f t="shared" si="1"/>
        <v>43</v>
      </c>
      <c r="B44" s="119">
        <v>1842400</v>
      </c>
      <c r="C44" s="118" t="s">
        <v>13</v>
      </c>
      <c r="D44" s="19" t="s">
        <v>14</v>
      </c>
      <c r="E44" s="118" t="s">
        <v>86</v>
      </c>
      <c r="F44" s="19" t="s">
        <v>16</v>
      </c>
      <c r="G44" s="118"/>
      <c r="H44" s="19"/>
      <c r="I44" s="118" t="s">
        <v>20</v>
      </c>
      <c r="J44" s="58">
        <v>37941</v>
      </c>
      <c r="K44" s="116">
        <f t="shared" si="0"/>
        <v>43</v>
      </c>
      <c r="L44" s="19"/>
      <c r="M44" s="20"/>
    </row>
    <row r="45" s="17" customFormat="1" ht="21" customHeight="1" spans="1:13">
      <c r="A45" s="116">
        <f t="shared" si="1"/>
        <v>44</v>
      </c>
      <c r="B45" s="119">
        <v>1842100</v>
      </c>
      <c r="C45" s="118" t="s">
        <v>13</v>
      </c>
      <c r="D45" s="19" t="s">
        <v>14</v>
      </c>
      <c r="E45" s="118" t="s">
        <v>87</v>
      </c>
      <c r="F45" s="19" t="s">
        <v>16</v>
      </c>
      <c r="G45" s="118" t="s">
        <v>77</v>
      </c>
      <c r="H45" s="19"/>
      <c r="I45" s="118" t="s">
        <v>20</v>
      </c>
      <c r="J45" s="58">
        <v>37941</v>
      </c>
      <c r="K45" s="116">
        <f t="shared" si="0"/>
        <v>44</v>
      </c>
      <c r="L45" s="19"/>
      <c r="M45" s="20"/>
    </row>
    <row r="46" s="17" customFormat="1" ht="21" customHeight="1" spans="1:13">
      <c r="A46" s="116">
        <f t="shared" si="1"/>
        <v>45</v>
      </c>
      <c r="B46" s="119">
        <v>1841900</v>
      </c>
      <c r="C46" s="118" t="s">
        <v>13</v>
      </c>
      <c r="D46" s="19" t="s">
        <v>14</v>
      </c>
      <c r="E46" s="118" t="s">
        <v>87</v>
      </c>
      <c r="F46" s="19" t="s">
        <v>16</v>
      </c>
      <c r="G46" s="118" t="s">
        <v>77</v>
      </c>
      <c r="H46" s="19"/>
      <c r="I46" s="118" t="s">
        <v>20</v>
      </c>
      <c r="J46" s="58">
        <v>37941</v>
      </c>
      <c r="K46" s="116">
        <f t="shared" si="0"/>
        <v>45</v>
      </c>
      <c r="L46" s="19"/>
      <c r="M46" s="20"/>
    </row>
    <row r="47" s="17" customFormat="1" ht="21" customHeight="1" spans="1:13">
      <c r="A47" s="116">
        <f t="shared" si="1"/>
        <v>46</v>
      </c>
      <c r="B47" s="119">
        <v>1841600</v>
      </c>
      <c r="C47" s="118" t="s">
        <v>13</v>
      </c>
      <c r="D47" s="19" t="s">
        <v>18</v>
      </c>
      <c r="E47" s="118" t="s">
        <v>19</v>
      </c>
      <c r="F47" s="19" t="s">
        <v>16</v>
      </c>
      <c r="G47" s="118" t="s">
        <v>71</v>
      </c>
      <c r="H47" s="19"/>
      <c r="I47" s="118" t="s">
        <v>36</v>
      </c>
      <c r="J47" s="58">
        <v>37941</v>
      </c>
      <c r="K47" s="116">
        <f t="shared" si="0"/>
        <v>46</v>
      </c>
      <c r="L47" s="19"/>
      <c r="M47" s="20"/>
    </row>
    <row r="48" s="17" customFormat="1" ht="21" customHeight="1" spans="1:13">
      <c r="A48" s="116">
        <f t="shared" si="1"/>
        <v>47</v>
      </c>
      <c r="B48" s="119">
        <v>1841500</v>
      </c>
      <c r="C48" s="118" t="s">
        <v>13</v>
      </c>
      <c r="D48" s="19" t="s">
        <v>18</v>
      </c>
      <c r="E48" s="118" t="s">
        <v>88</v>
      </c>
      <c r="F48" s="19" t="s">
        <v>16</v>
      </c>
      <c r="G48" s="118" t="s">
        <v>89</v>
      </c>
      <c r="H48" s="19"/>
      <c r="I48" s="118" t="s">
        <v>17</v>
      </c>
      <c r="J48" s="58">
        <v>37941</v>
      </c>
      <c r="K48" s="116">
        <f t="shared" si="0"/>
        <v>47</v>
      </c>
      <c r="L48" s="19"/>
      <c r="M48" s="20"/>
    </row>
    <row r="49" s="17" customFormat="1" ht="21" customHeight="1" spans="1:13">
      <c r="A49" s="116">
        <f t="shared" si="1"/>
        <v>48</v>
      </c>
      <c r="B49" s="119">
        <v>1841450</v>
      </c>
      <c r="C49" s="118" t="s">
        <v>13</v>
      </c>
      <c r="D49" s="19" t="s">
        <v>59</v>
      </c>
      <c r="E49" s="118" t="s">
        <v>21</v>
      </c>
      <c r="F49" s="19" t="s">
        <v>16</v>
      </c>
      <c r="G49" s="118" t="s">
        <v>90</v>
      </c>
      <c r="H49" s="19"/>
      <c r="I49" s="118" t="s">
        <v>36</v>
      </c>
      <c r="J49" s="58">
        <v>37941</v>
      </c>
      <c r="K49" s="116">
        <f t="shared" si="0"/>
        <v>48</v>
      </c>
      <c r="L49" s="19"/>
      <c r="M49" s="20"/>
    </row>
    <row r="50" s="17" customFormat="1" ht="21" customHeight="1" spans="1:13">
      <c r="A50" s="116">
        <f t="shared" si="1"/>
        <v>49</v>
      </c>
      <c r="B50" s="119">
        <v>1841350</v>
      </c>
      <c r="C50" s="118" t="s">
        <v>13</v>
      </c>
      <c r="D50" s="19" t="s">
        <v>18</v>
      </c>
      <c r="E50" s="118" t="s">
        <v>91</v>
      </c>
      <c r="F50" s="19" t="s">
        <v>92</v>
      </c>
      <c r="G50" s="118" t="s">
        <v>93</v>
      </c>
      <c r="H50" s="19"/>
      <c r="I50" s="118" t="s">
        <v>17</v>
      </c>
      <c r="J50" s="58">
        <v>37941</v>
      </c>
      <c r="K50" s="116">
        <f t="shared" si="0"/>
        <v>49</v>
      </c>
      <c r="L50" s="19"/>
      <c r="M50" s="20"/>
    </row>
    <row r="51" s="17" customFormat="1" ht="21" customHeight="1" spans="1:13">
      <c r="A51" s="116">
        <f t="shared" si="1"/>
        <v>50</v>
      </c>
      <c r="B51" s="119">
        <v>1841050</v>
      </c>
      <c r="C51" s="118" t="s">
        <v>13</v>
      </c>
      <c r="D51" s="19" t="s">
        <v>14</v>
      </c>
      <c r="E51" s="118" t="s">
        <v>94</v>
      </c>
      <c r="F51" s="19" t="s">
        <v>16</v>
      </c>
      <c r="G51" s="118" t="s">
        <v>95</v>
      </c>
      <c r="H51" s="19"/>
      <c r="I51" s="118" t="s">
        <v>17</v>
      </c>
      <c r="J51" s="58">
        <v>37941</v>
      </c>
      <c r="K51" s="116">
        <f t="shared" si="0"/>
        <v>50</v>
      </c>
      <c r="L51" s="19"/>
      <c r="M51" s="20"/>
    </row>
    <row r="52" s="17" customFormat="1" ht="21" customHeight="1" spans="1:13">
      <c r="A52" s="116">
        <f t="shared" si="1"/>
        <v>51</v>
      </c>
      <c r="B52" s="119">
        <v>1840950</v>
      </c>
      <c r="C52" s="118" t="s">
        <v>13</v>
      </c>
      <c r="D52" s="19" t="s">
        <v>29</v>
      </c>
      <c r="E52" s="118" t="s">
        <v>57</v>
      </c>
      <c r="F52" s="19" t="s">
        <v>65</v>
      </c>
      <c r="G52" s="118" t="s">
        <v>96</v>
      </c>
      <c r="H52" s="19"/>
      <c r="I52" s="118" t="s">
        <v>17</v>
      </c>
      <c r="J52" s="58">
        <v>37941</v>
      </c>
      <c r="K52" s="116">
        <f t="shared" si="0"/>
        <v>51</v>
      </c>
      <c r="L52" s="19"/>
      <c r="M52" s="20"/>
    </row>
    <row r="53" s="17" customFormat="1" ht="21" customHeight="1" spans="1:13">
      <c r="A53" s="116">
        <f t="shared" si="1"/>
        <v>52</v>
      </c>
      <c r="B53" s="119">
        <v>1840900</v>
      </c>
      <c r="C53" s="118" t="s">
        <v>13</v>
      </c>
      <c r="D53" s="19" t="s">
        <v>29</v>
      </c>
      <c r="E53" s="118" t="s">
        <v>64</v>
      </c>
      <c r="F53" s="19" t="s">
        <v>65</v>
      </c>
      <c r="G53" s="118" t="s">
        <v>96</v>
      </c>
      <c r="H53" s="19"/>
      <c r="I53" s="118" t="s">
        <v>17</v>
      </c>
      <c r="J53" s="58">
        <v>37941</v>
      </c>
      <c r="K53" s="19"/>
      <c r="L53" s="19"/>
      <c r="M53" s="20"/>
    </row>
    <row r="54" s="17" customFormat="1" ht="21" customHeight="1" spans="1:13">
      <c r="A54" s="116">
        <f t="shared" si="1"/>
        <v>53</v>
      </c>
      <c r="B54" s="119">
        <v>1840750</v>
      </c>
      <c r="C54" s="118" t="s">
        <v>13</v>
      </c>
      <c r="D54" s="19" t="s">
        <v>18</v>
      </c>
      <c r="E54" s="118" t="s">
        <v>22</v>
      </c>
      <c r="F54" s="19" t="s">
        <v>16</v>
      </c>
      <c r="G54" s="118" t="s">
        <v>97</v>
      </c>
      <c r="H54" s="19"/>
      <c r="I54" s="118" t="s">
        <v>36</v>
      </c>
      <c r="J54" s="58">
        <v>37941</v>
      </c>
      <c r="K54" s="116">
        <f t="shared" ref="K54:K117" si="2">A54</f>
        <v>53</v>
      </c>
      <c r="L54" s="19"/>
      <c r="M54" s="20"/>
    </row>
    <row r="55" s="17" customFormat="1" ht="21" customHeight="1" spans="1:13">
      <c r="A55" s="116">
        <f t="shared" si="1"/>
        <v>54</v>
      </c>
      <c r="B55" s="119">
        <v>1840700</v>
      </c>
      <c r="C55" s="118" t="s">
        <v>13</v>
      </c>
      <c r="D55" s="19" t="s">
        <v>18</v>
      </c>
      <c r="E55" s="118" t="s">
        <v>23</v>
      </c>
      <c r="F55" s="19" t="s">
        <v>16</v>
      </c>
      <c r="G55" s="118" t="s">
        <v>97</v>
      </c>
      <c r="H55" s="19"/>
      <c r="I55" s="118" t="s">
        <v>36</v>
      </c>
      <c r="J55" s="58">
        <v>37941</v>
      </c>
      <c r="K55" s="116">
        <f t="shared" si="2"/>
        <v>54</v>
      </c>
      <c r="L55" s="19"/>
      <c r="M55" s="20"/>
    </row>
    <row r="56" s="17" customFormat="1" ht="21" customHeight="1" spans="1:13">
      <c r="A56" s="116">
        <f t="shared" si="1"/>
        <v>55</v>
      </c>
      <c r="B56" s="119">
        <v>1840650</v>
      </c>
      <c r="C56" s="118" t="s">
        <v>13</v>
      </c>
      <c r="D56" s="19" t="s">
        <v>18</v>
      </c>
      <c r="E56" s="118" t="s">
        <v>24</v>
      </c>
      <c r="F56" s="19" t="s">
        <v>16</v>
      </c>
      <c r="G56" s="118" t="s">
        <v>97</v>
      </c>
      <c r="H56" s="19"/>
      <c r="I56" s="118" t="s">
        <v>36</v>
      </c>
      <c r="J56" s="58">
        <v>37941</v>
      </c>
      <c r="K56" s="116">
        <f t="shared" si="2"/>
        <v>55</v>
      </c>
      <c r="L56" s="19"/>
      <c r="M56" s="20"/>
    </row>
    <row r="57" s="17" customFormat="1" ht="21" customHeight="1" spans="1:13">
      <c r="A57" s="116">
        <f t="shared" si="1"/>
        <v>56</v>
      </c>
      <c r="B57" s="119">
        <v>1840450</v>
      </c>
      <c r="C57" s="118" t="s">
        <v>13</v>
      </c>
      <c r="D57" s="19" t="s">
        <v>14</v>
      </c>
      <c r="E57" s="118" t="s">
        <v>98</v>
      </c>
      <c r="F57" s="19" t="s">
        <v>16</v>
      </c>
      <c r="G57" s="118" t="s">
        <v>99</v>
      </c>
      <c r="H57" s="19"/>
      <c r="I57" s="118" t="s">
        <v>36</v>
      </c>
      <c r="J57" s="58">
        <v>37941</v>
      </c>
      <c r="K57" s="116">
        <f t="shared" si="2"/>
        <v>56</v>
      </c>
      <c r="L57" s="19"/>
      <c r="M57" s="20"/>
    </row>
    <row r="58" s="17" customFormat="1" ht="21" customHeight="1" spans="1:13">
      <c r="A58" s="116">
        <f t="shared" si="1"/>
        <v>57</v>
      </c>
      <c r="B58" s="119">
        <v>1840400</v>
      </c>
      <c r="C58" s="118" t="s">
        <v>13</v>
      </c>
      <c r="D58" s="19" t="s">
        <v>14</v>
      </c>
      <c r="E58" s="118" t="s">
        <v>100</v>
      </c>
      <c r="F58" s="19" t="s">
        <v>16</v>
      </c>
      <c r="G58" s="118" t="s">
        <v>101</v>
      </c>
      <c r="H58" s="19"/>
      <c r="I58" s="118" t="s">
        <v>36</v>
      </c>
      <c r="J58" s="58">
        <v>37941</v>
      </c>
      <c r="K58" s="116">
        <f t="shared" si="2"/>
        <v>57</v>
      </c>
      <c r="L58" s="19"/>
      <c r="M58" s="20"/>
    </row>
    <row r="59" s="17" customFormat="1" ht="21" customHeight="1" spans="1:13">
      <c r="A59" s="116">
        <f t="shared" si="1"/>
        <v>58</v>
      </c>
      <c r="B59" s="119">
        <v>1839450</v>
      </c>
      <c r="C59" s="118" t="s">
        <v>13</v>
      </c>
      <c r="D59" s="19" t="s">
        <v>14</v>
      </c>
      <c r="E59" s="118" t="s">
        <v>102</v>
      </c>
      <c r="F59" s="19" t="s">
        <v>16</v>
      </c>
      <c r="G59" s="118" t="s">
        <v>99</v>
      </c>
      <c r="H59" s="19"/>
      <c r="I59" s="118" t="s">
        <v>36</v>
      </c>
      <c r="J59" s="58">
        <v>37941</v>
      </c>
      <c r="K59" s="116">
        <f t="shared" si="2"/>
        <v>58</v>
      </c>
      <c r="L59" s="19"/>
      <c r="M59" s="20"/>
    </row>
    <row r="60" s="17" customFormat="1" ht="21" customHeight="1" spans="1:13">
      <c r="A60" s="116">
        <f t="shared" si="1"/>
        <v>59</v>
      </c>
      <c r="B60" s="119">
        <v>1839050</v>
      </c>
      <c r="C60" s="118" t="s">
        <v>13</v>
      </c>
      <c r="D60" s="19" t="s">
        <v>29</v>
      </c>
      <c r="E60" s="118" t="s">
        <v>103</v>
      </c>
      <c r="F60" s="19" t="s">
        <v>16</v>
      </c>
      <c r="G60" s="118"/>
      <c r="H60" s="19"/>
      <c r="I60" s="118" t="s">
        <v>17</v>
      </c>
      <c r="J60" s="58">
        <v>37941</v>
      </c>
      <c r="K60" s="116">
        <f t="shared" si="2"/>
        <v>59</v>
      </c>
      <c r="L60" s="19"/>
      <c r="M60" s="20"/>
    </row>
    <row r="61" s="17" customFormat="1" ht="21" customHeight="1" spans="1:13">
      <c r="A61" s="116">
        <f t="shared" si="1"/>
        <v>60</v>
      </c>
      <c r="B61" s="119">
        <v>1838950</v>
      </c>
      <c r="C61" s="118" t="s">
        <v>13</v>
      </c>
      <c r="D61" s="19" t="s">
        <v>59</v>
      </c>
      <c r="E61" s="118" t="s">
        <v>104</v>
      </c>
      <c r="F61" s="19" t="s">
        <v>16</v>
      </c>
      <c r="G61" s="118"/>
      <c r="H61" s="19"/>
      <c r="I61" s="118" t="s">
        <v>17</v>
      </c>
      <c r="J61" s="58">
        <v>37941</v>
      </c>
      <c r="K61" s="116">
        <f t="shared" si="2"/>
        <v>60</v>
      </c>
      <c r="L61" s="19"/>
      <c r="M61" s="20"/>
    </row>
    <row r="62" s="17" customFormat="1" ht="21" customHeight="1" spans="1:13">
      <c r="A62" s="116">
        <f t="shared" si="1"/>
        <v>61</v>
      </c>
      <c r="B62" s="119">
        <v>1838900</v>
      </c>
      <c r="C62" s="118" t="s">
        <v>13</v>
      </c>
      <c r="D62" s="19" t="s">
        <v>14</v>
      </c>
      <c r="E62" s="118" t="s">
        <v>105</v>
      </c>
      <c r="F62" s="19" t="s">
        <v>16</v>
      </c>
      <c r="G62" s="118" t="s">
        <v>99</v>
      </c>
      <c r="H62" s="19"/>
      <c r="I62" s="118" t="s">
        <v>17</v>
      </c>
      <c r="J62" s="58">
        <v>37941</v>
      </c>
      <c r="K62" s="116">
        <f t="shared" si="2"/>
        <v>61</v>
      </c>
      <c r="L62" s="19"/>
      <c r="M62" s="20"/>
    </row>
    <row r="63" s="17" customFormat="1" ht="21" customHeight="1" spans="1:13">
      <c r="A63" s="116">
        <f t="shared" si="1"/>
        <v>62</v>
      </c>
      <c r="B63" s="119">
        <v>1838850</v>
      </c>
      <c r="C63" s="118" t="s">
        <v>13</v>
      </c>
      <c r="D63" s="19" t="s">
        <v>59</v>
      </c>
      <c r="E63" s="118" t="s">
        <v>104</v>
      </c>
      <c r="F63" s="19" t="s">
        <v>16</v>
      </c>
      <c r="G63" s="118"/>
      <c r="H63" s="19"/>
      <c r="I63" s="118" t="s">
        <v>20</v>
      </c>
      <c r="J63" s="58">
        <v>37941</v>
      </c>
      <c r="K63" s="116">
        <f t="shared" si="2"/>
        <v>62</v>
      </c>
      <c r="L63" s="19"/>
      <c r="M63" s="20"/>
    </row>
    <row r="64" s="17" customFormat="1" ht="21" customHeight="1" spans="1:13">
      <c r="A64" s="116">
        <f t="shared" si="1"/>
        <v>63</v>
      </c>
      <c r="B64" s="119">
        <v>1838400</v>
      </c>
      <c r="C64" s="118" t="s">
        <v>13</v>
      </c>
      <c r="D64" s="19" t="s">
        <v>14</v>
      </c>
      <c r="E64" s="118" t="s">
        <v>106</v>
      </c>
      <c r="F64" s="19" t="s">
        <v>16</v>
      </c>
      <c r="G64" s="118" t="s">
        <v>99</v>
      </c>
      <c r="H64" s="19"/>
      <c r="I64" s="118" t="s">
        <v>17</v>
      </c>
      <c r="J64" s="58">
        <v>37941</v>
      </c>
      <c r="K64" s="116">
        <f t="shared" si="2"/>
        <v>63</v>
      </c>
      <c r="L64" s="19"/>
      <c r="M64" s="20"/>
    </row>
    <row r="65" s="17" customFormat="1" ht="21" customHeight="1" spans="1:13">
      <c r="A65" s="116">
        <f t="shared" si="1"/>
        <v>64</v>
      </c>
      <c r="B65" s="119">
        <v>1838350</v>
      </c>
      <c r="C65" s="118" t="s">
        <v>13</v>
      </c>
      <c r="D65" s="19" t="s">
        <v>14</v>
      </c>
      <c r="E65" s="118" t="s">
        <v>107</v>
      </c>
      <c r="F65" s="19" t="s">
        <v>16</v>
      </c>
      <c r="G65" s="118"/>
      <c r="H65" s="19"/>
      <c r="I65" s="118" t="s">
        <v>20</v>
      </c>
      <c r="J65" s="58">
        <v>37941</v>
      </c>
      <c r="K65" s="116">
        <f t="shared" si="2"/>
        <v>64</v>
      </c>
      <c r="L65" s="19"/>
      <c r="M65" s="20"/>
    </row>
    <row r="66" s="17" customFormat="1" ht="21" customHeight="1" spans="1:13">
      <c r="A66" s="116">
        <f t="shared" si="1"/>
        <v>65</v>
      </c>
      <c r="B66" s="119" t="s">
        <v>108</v>
      </c>
      <c r="C66" s="118" t="s">
        <v>13</v>
      </c>
      <c r="D66" s="19" t="s">
        <v>82</v>
      </c>
      <c r="E66" s="118" t="s">
        <v>109</v>
      </c>
      <c r="F66" s="19" t="s">
        <v>31</v>
      </c>
      <c r="G66" s="118" t="s">
        <v>32</v>
      </c>
      <c r="H66" s="19"/>
      <c r="I66" s="118" t="s">
        <v>17</v>
      </c>
      <c r="J66" s="58">
        <v>44866</v>
      </c>
      <c r="K66" s="116">
        <f t="shared" si="2"/>
        <v>65</v>
      </c>
      <c r="L66" s="19"/>
      <c r="M66" s="20"/>
    </row>
    <row r="67" s="17" customFormat="1" ht="21" customHeight="1" spans="1:13">
      <c r="A67" s="116">
        <f t="shared" si="1"/>
        <v>66</v>
      </c>
      <c r="B67" s="119" t="s">
        <v>110</v>
      </c>
      <c r="C67" s="118" t="s">
        <v>13</v>
      </c>
      <c r="D67" s="19" t="s">
        <v>82</v>
      </c>
      <c r="E67" s="118" t="s">
        <v>111</v>
      </c>
      <c r="F67" s="19" t="s">
        <v>31</v>
      </c>
      <c r="G67" s="118" t="s">
        <v>112</v>
      </c>
      <c r="H67" s="19"/>
      <c r="I67" s="118" t="s">
        <v>17</v>
      </c>
      <c r="J67" s="58">
        <v>37941</v>
      </c>
      <c r="K67" s="116">
        <f t="shared" si="2"/>
        <v>66</v>
      </c>
      <c r="L67" s="19"/>
      <c r="M67" s="20"/>
    </row>
    <row r="68" s="17" customFormat="1" ht="21" customHeight="1" spans="1:13">
      <c r="A68" s="116">
        <f t="shared" ref="A68:A131" si="3">ROW(L68)-1</f>
        <v>67</v>
      </c>
      <c r="B68" s="119" t="s">
        <v>113</v>
      </c>
      <c r="C68" s="118" t="s">
        <v>13</v>
      </c>
      <c r="D68" s="19" t="s">
        <v>82</v>
      </c>
      <c r="E68" s="118" t="s">
        <v>114</v>
      </c>
      <c r="F68" s="19" t="s">
        <v>31</v>
      </c>
      <c r="G68" s="118" t="s">
        <v>112</v>
      </c>
      <c r="H68" s="19"/>
      <c r="I68" s="118" t="s">
        <v>17</v>
      </c>
      <c r="J68" s="58">
        <v>37941</v>
      </c>
      <c r="K68" s="116">
        <f t="shared" si="2"/>
        <v>67</v>
      </c>
      <c r="L68" s="19"/>
      <c r="M68" s="20"/>
    </row>
    <row r="69" s="17" customFormat="1" ht="21" customHeight="1" spans="1:13">
      <c r="A69" s="116">
        <f t="shared" si="3"/>
        <v>68</v>
      </c>
      <c r="B69" s="119">
        <v>1838100</v>
      </c>
      <c r="C69" s="118" t="s">
        <v>13</v>
      </c>
      <c r="D69" s="19" t="s">
        <v>14</v>
      </c>
      <c r="E69" s="118" t="s">
        <v>115</v>
      </c>
      <c r="F69" s="19" t="s">
        <v>16</v>
      </c>
      <c r="G69" s="118"/>
      <c r="H69" s="19"/>
      <c r="I69" s="118" t="s">
        <v>17</v>
      </c>
      <c r="J69" s="58">
        <v>37941</v>
      </c>
      <c r="K69" s="116">
        <f t="shared" si="2"/>
        <v>68</v>
      </c>
      <c r="L69" s="19"/>
      <c r="M69" s="20"/>
    </row>
    <row r="70" s="17" customFormat="1" ht="21" customHeight="1" spans="1:13">
      <c r="A70" s="116">
        <f t="shared" si="3"/>
        <v>69</v>
      </c>
      <c r="B70" s="119">
        <v>1837950</v>
      </c>
      <c r="C70" s="118" t="s">
        <v>13</v>
      </c>
      <c r="D70" s="19" t="s">
        <v>29</v>
      </c>
      <c r="E70" s="118" t="s">
        <v>116</v>
      </c>
      <c r="F70" s="19" t="s">
        <v>16</v>
      </c>
      <c r="G70" s="118" t="s">
        <v>95</v>
      </c>
      <c r="H70" s="19"/>
      <c r="I70" s="118" t="s">
        <v>20</v>
      </c>
      <c r="J70" s="58">
        <v>37941</v>
      </c>
      <c r="K70" s="116">
        <f t="shared" si="2"/>
        <v>69</v>
      </c>
      <c r="L70" s="19"/>
      <c r="M70" s="20"/>
    </row>
    <row r="71" s="17" customFormat="1" ht="21" customHeight="1" spans="1:13">
      <c r="A71" s="116">
        <f t="shared" si="3"/>
        <v>70</v>
      </c>
      <c r="B71" s="119">
        <v>1837940</v>
      </c>
      <c r="C71" s="118" t="s">
        <v>13</v>
      </c>
      <c r="D71" s="19" t="s">
        <v>14</v>
      </c>
      <c r="E71" s="118" t="s">
        <v>117</v>
      </c>
      <c r="F71" s="19" t="s">
        <v>16</v>
      </c>
      <c r="G71" s="118"/>
      <c r="H71" s="19"/>
      <c r="I71" s="118" t="s">
        <v>20</v>
      </c>
      <c r="J71" s="58">
        <v>37941</v>
      </c>
      <c r="K71" s="116">
        <f t="shared" si="2"/>
        <v>70</v>
      </c>
      <c r="L71" s="19"/>
      <c r="M71" s="20"/>
    </row>
    <row r="72" s="17" customFormat="1" ht="21" customHeight="1" spans="1:13">
      <c r="A72" s="116">
        <f t="shared" si="3"/>
        <v>71</v>
      </c>
      <c r="B72" s="119">
        <v>1837930</v>
      </c>
      <c r="C72" s="118" t="s">
        <v>13</v>
      </c>
      <c r="D72" s="19" t="s">
        <v>14</v>
      </c>
      <c r="E72" s="118" t="s">
        <v>118</v>
      </c>
      <c r="F72" s="19" t="s">
        <v>16</v>
      </c>
      <c r="G72" s="118" t="s">
        <v>95</v>
      </c>
      <c r="H72" s="19"/>
      <c r="I72" s="118" t="s">
        <v>36</v>
      </c>
      <c r="J72" s="58">
        <v>37941</v>
      </c>
      <c r="K72" s="116">
        <f t="shared" si="2"/>
        <v>71</v>
      </c>
      <c r="L72" s="19"/>
      <c r="M72" s="20"/>
    </row>
    <row r="73" s="17" customFormat="1" ht="21" customHeight="1" spans="1:13">
      <c r="A73" s="116">
        <f t="shared" si="3"/>
        <v>72</v>
      </c>
      <c r="B73" s="119">
        <v>1837650</v>
      </c>
      <c r="C73" s="118" t="s">
        <v>13</v>
      </c>
      <c r="D73" s="19" t="s">
        <v>14</v>
      </c>
      <c r="E73" s="118" t="s">
        <v>119</v>
      </c>
      <c r="F73" s="19" t="s">
        <v>16</v>
      </c>
      <c r="G73" s="118" t="s">
        <v>99</v>
      </c>
      <c r="H73" s="19"/>
      <c r="I73" s="118" t="s">
        <v>20</v>
      </c>
      <c r="J73" s="58">
        <v>37941</v>
      </c>
      <c r="K73" s="116">
        <f t="shared" si="2"/>
        <v>72</v>
      </c>
      <c r="L73" s="19"/>
      <c r="M73" s="20"/>
    </row>
    <row r="74" s="17" customFormat="1" ht="21" customHeight="1" spans="1:13">
      <c r="A74" s="116">
        <f t="shared" si="3"/>
        <v>73</v>
      </c>
      <c r="B74" s="119">
        <v>1837640</v>
      </c>
      <c r="C74" s="118" t="s">
        <v>13</v>
      </c>
      <c r="D74" s="19" t="s">
        <v>14</v>
      </c>
      <c r="E74" s="118" t="s">
        <v>120</v>
      </c>
      <c r="F74" s="19" t="s">
        <v>16</v>
      </c>
      <c r="G74" s="118"/>
      <c r="H74" s="19"/>
      <c r="I74" s="118" t="s">
        <v>36</v>
      </c>
      <c r="J74" s="58">
        <v>37941</v>
      </c>
      <c r="K74" s="116">
        <f t="shared" si="2"/>
        <v>73</v>
      </c>
      <c r="L74" s="19"/>
      <c r="M74" s="20"/>
    </row>
    <row r="75" s="17" customFormat="1" ht="21" customHeight="1" spans="1:13">
      <c r="A75" s="116">
        <f t="shared" si="3"/>
        <v>74</v>
      </c>
      <c r="B75" s="119">
        <v>1837600</v>
      </c>
      <c r="C75" s="118" t="s">
        <v>13</v>
      </c>
      <c r="D75" s="19" t="s">
        <v>14</v>
      </c>
      <c r="E75" s="118" t="s">
        <v>121</v>
      </c>
      <c r="F75" s="19" t="s">
        <v>16</v>
      </c>
      <c r="G75" s="118" t="s">
        <v>122</v>
      </c>
      <c r="H75" s="19"/>
      <c r="I75" s="118" t="s">
        <v>17</v>
      </c>
      <c r="J75" s="58">
        <v>37941</v>
      </c>
      <c r="K75" s="116">
        <f t="shared" si="2"/>
        <v>74</v>
      </c>
      <c r="L75" s="19"/>
      <c r="M75" s="20"/>
    </row>
    <row r="76" s="17" customFormat="1" ht="21" customHeight="1" spans="1:13">
      <c r="A76" s="116">
        <f t="shared" si="3"/>
        <v>75</v>
      </c>
      <c r="B76" s="119">
        <v>1837550</v>
      </c>
      <c r="C76" s="118" t="s">
        <v>13</v>
      </c>
      <c r="D76" s="19" t="s">
        <v>29</v>
      </c>
      <c r="E76" s="118" t="s">
        <v>57</v>
      </c>
      <c r="F76" s="19" t="s">
        <v>65</v>
      </c>
      <c r="G76" s="118" t="s">
        <v>58</v>
      </c>
      <c r="H76" s="19"/>
      <c r="I76" s="118" t="s">
        <v>17</v>
      </c>
      <c r="J76" s="58">
        <v>37941</v>
      </c>
      <c r="K76" s="116">
        <f t="shared" si="2"/>
        <v>75</v>
      </c>
      <c r="L76" s="19"/>
      <c r="M76" s="20"/>
    </row>
    <row r="77" s="17" customFormat="1" ht="21" customHeight="1" spans="1:13">
      <c r="A77" s="116">
        <f t="shared" si="3"/>
        <v>76</v>
      </c>
      <c r="B77" s="119">
        <v>1837500</v>
      </c>
      <c r="C77" s="118" t="s">
        <v>13</v>
      </c>
      <c r="D77" s="19" t="s">
        <v>29</v>
      </c>
      <c r="E77" s="118" t="s">
        <v>64</v>
      </c>
      <c r="F77" s="19" t="s">
        <v>65</v>
      </c>
      <c r="G77" s="118" t="s">
        <v>58</v>
      </c>
      <c r="H77" s="19"/>
      <c r="I77" s="118" t="s">
        <v>17</v>
      </c>
      <c r="J77" s="58">
        <v>37941</v>
      </c>
      <c r="K77" s="116">
        <f t="shared" si="2"/>
        <v>76</v>
      </c>
      <c r="L77" s="19"/>
      <c r="M77" s="20"/>
    </row>
    <row r="78" s="17" customFormat="1" ht="21" customHeight="1" spans="1:13">
      <c r="A78" s="116">
        <f t="shared" si="3"/>
        <v>77</v>
      </c>
      <c r="B78" s="119">
        <v>1837040</v>
      </c>
      <c r="C78" s="118" t="s">
        <v>13</v>
      </c>
      <c r="D78" s="19" t="s">
        <v>14</v>
      </c>
      <c r="E78" s="118" t="s">
        <v>123</v>
      </c>
      <c r="F78" s="19" t="s">
        <v>16</v>
      </c>
      <c r="G78" s="118" t="s">
        <v>99</v>
      </c>
      <c r="H78" s="19"/>
      <c r="I78" s="118" t="s">
        <v>17</v>
      </c>
      <c r="J78" s="58">
        <v>37941</v>
      </c>
      <c r="K78" s="116">
        <f t="shared" si="2"/>
        <v>77</v>
      </c>
      <c r="L78" s="19"/>
      <c r="M78" s="20"/>
    </row>
    <row r="79" s="17" customFormat="1" ht="21" customHeight="1" spans="1:13">
      <c r="A79" s="116">
        <f t="shared" si="3"/>
        <v>78</v>
      </c>
      <c r="B79" s="119">
        <v>1837020</v>
      </c>
      <c r="C79" s="118" t="s">
        <v>13</v>
      </c>
      <c r="D79" s="19" t="s">
        <v>59</v>
      </c>
      <c r="E79" s="118" t="s">
        <v>124</v>
      </c>
      <c r="F79" s="19" t="s">
        <v>16</v>
      </c>
      <c r="G79" s="118" t="s">
        <v>125</v>
      </c>
      <c r="H79" s="19"/>
      <c r="I79" s="118" t="s">
        <v>20</v>
      </c>
      <c r="J79" s="58">
        <v>37941</v>
      </c>
      <c r="K79" s="116">
        <f t="shared" si="2"/>
        <v>78</v>
      </c>
      <c r="L79" s="19"/>
      <c r="M79" s="20"/>
    </row>
    <row r="80" s="17" customFormat="1" ht="21" customHeight="1" spans="1:13">
      <c r="A80" s="116">
        <f t="shared" si="3"/>
        <v>79</v>
      </c>
      <c r="B80" s="119">
        <v>1836950</v>
      </c>
      <c r="C80" s="118" t="s">
        <v>13</v>
      </c>
      <c r="D80" s="19" t="s">
        <v>14</v>
      </c>
      <c r="E80" s="118" t="s">
        <v>126</v>
      </c>
      <c r="F80" s="19" t="s">
        <v>16</v>
      </c>
      <c r="G80" s="118"/>
      <c r="H80" s="19"/>
      <c r="I80" s="118" t="s">
        <v>36</v>
      </c>
      <c r="J80" s="58">
        <v>37941</v>
      </c>
      <c r="K80" s="116">
        <f t="shared" si="2"/>
        <v>79</v>
      </c>
      <c r="L80" s="19"/>
      <c r="M80" s="20"/>
    </row>
    <row r="81" s="17" customFormat="1" ht="21" customHeight="1" spans="1:13">
      <c r="A81" s="116">
        <f t="shared" si="3"/>
        <v>80</v>
      </c>
      <c r="B81" s="119">
        <v>1836900</v>
      </c>
      <c r="C81" s="118" t="s">
        <v>13</v>
      </c>
      <c r="D81" s="19" t="s">
        <v>14</v>
      </c>
      <c r="E81" s="118" t="s">
        <v>127</v>
      </c>
      <c r="F81" s="19" t="s">
        <v>16</v>
      </c>
      <c r="G81" s="118" t="s">
        <v>128</v>
      </c>
      <c r="H81" s="19"/>
      <c r="I81" s="118" t="s">
        <v>20</v>
      </c>
      <c r="J81" s="58">
        <v>37941</v>
      </c>
      <c r="K81" s="116">
        <f t="shared" si="2"/>
        <v>80</v>
      </c>
      <c r="L81" s="19"/>
      <c r="M81" s="20"/>
    </row>
    <row r="82" s="17" customFormat="1" ht="21" customHeight="1" spans="1:13">
      <c r="A82" s="116">
        <f t="shared" si="3"/>
        <v>81</v>
      </c>
      <c r="B82" s="119">
        <v>1836800</v>
      </c>
      <c r="C82" s="118" t="s">
        <v>13</v>
      </c>
      <c r="D82" s="19" t="s">
        <v>14</v>
      </c>
      <c r="E82" s="118" t="s">
        <v>129</v>
      </c>
      <c r="F82" s="19" t="s">
        <v>16</v>
      </c>
      <c r="G82" s="118" t="s">
        <v>128</v>
      </c>
      <c r="H82" s="19"/>
      <c r="I82" s="118" t="s">
        <v>20</v>
      </c>
      <c r="J82" s="58">
        <v>37941</v>
      </c>
      <c r="K82" s="116">
        <f t="shared" si="2"/>
        <v>81</v>
      </c>
      <c r="L82" s="19"/>
      <c r="M82" s="20"/>
    </row>
    <row r="83" s="17" customFormat="1" ht="21" customHeight="1" spans="1:13">
      <c r="A83" s="116">
        <f t="shared" si="3"/>
        <v>82</v>
      </c>
      <c r="B83" s="119">
        <v>1836500</v>
      </c>
      <c r="C83" s="118" t="s">
        <v>13</v>
      </c>
      <c r="D83" s="19" t="s">
        <v>14</v>
      </c>
      <c r="E83" s="118" t="s">
        <v>130</v>
      </c>
      <c r="F83" s="19" t="s">
        <v>16</v>
      </c>
      <c r="G83" s="118"/>
      <c r="H83" s="19"/>
      <c r="I83" s="118" t="s">
        <v>20</v>
      </c>
      <c r="J83" s="58">
        <v>37941</v>
      </c>
      <c r="K83" s="116">
        <f t="shared" si="2"/>
        <v>82</v>
      </c>
      <c r="L83" s="19"/>
      <c r="M83" s="20"/>
    </row>
    <row r="84" s="17" customFormat="1" ht="21" customHeight="1" spans="1:13">
      <c r="A84" s="116">
        <f t="shared" si="3"/>
        <v>83</v>
      </c>
      <c r="B84" s="119">
        <v>1836500</v>
      </c>
      <c r="C84" s="118" t="s">
        <v>13</v>
      </c>
      <c r="D84" s="19" t="s">
        <v>14</v>
      </c>
      <c r="E84" s="118" t="s">
        <v>131</v>
      </c>
      <c r="F84" s="19" t="s">
        <v>16</v>
      </c>
      <c r="G84" s="118"/>
      <c r="H84" s="19"/>
      <c r="I84" s="118" t="s">
        <v>20</v>
      </c>
      <c r="J84" s="58">
        <v>37941</v>
      </c>
      <c r="K84" s="116">
        <f t="shared" si="2"/>
        <v>83</v>
      </c>
      <c r="L84" s="19"/>
      <c r="M84" s="20"/>
    </row>
    <row r="85" s="17" customFormat="1" ht="21" customHeight="1" spans="1:13">
      <c r="A85" s="116">
        <f t="shared" si="3"/>
        <v>84</v>
      </c>
      <c r="B85" s="119">
        <v>1836100</v>
      </c>
      <c r="C85" s="118" t="s">
        <v>13</v>
      </c>
      <c r="D85" s="19" t="s">
        <v>18</v>
      </c>
      <c r="E85" s="118" t="s">
        <v>132</v>
      </c>
      <c r="F85" s="19" t="s">
        <v>16</v>
      </c>
      <c r="G85" s="118" t="s">
        <v>133</v>
      </c>
      <c r="H85" s="19"/>
      <c r="I85" s="118" t="s">
        <v>20</v>
      </c>
      <c r="J85" s="58">
        <v>37941</v>
      </c>
      <c r="K85" s="116">
        <f t="shared" si="2"/>
        <v>84</v>
      </c>
      <c r="L85" s="19"/>
      <c r="M85" s="20"/>
    </row>
    <row r="86" s="17" customFormat="1" ht="21" customHeight="1" spans="1:13">
      <c r="A86" s="116">
        <f t="shared" si="3"/>
        <v>85</v>
      </c>
      <c r="B86" s="119">
        <v>1835950</v>
      </c>
      <c r="C86" s="118" t="s">
        <v>13</v>
      </c>
      <c r="D86" s="19" t="s">
        <v>27</v>
      </c>
      <c r="E86" s="118" t="s">
        <v>134</v>
      </c>
      <c r="F86" s="19" t="s">
        <v>16</v>
      </c>
      <c r="G86" s="118"/>
      <c r="H86" s="19"/>
      <c r="I86" s="118" t="s">
        <v>20</v>
      </c>
      <c r="J86" s="58">
        <v>37941</v>
      </c>
      <c r="K86" s="116">
        <f t="shared" si="2"/>
        <v>85</v>
      </c>
      <c r="L86" s="19"/>
      <c r="M86" s="20"/>
    </row>
    <row r="87" s="17" customFormat="1" ht="21" customHeight="1" spans="1:13">
      <c r="A87" s="116">
        <f t="shared" si="3"/>
        <v>86</v>
      </c>
      <c r="B87" s="119">
        <v>1835850</v>
      </c>
      <c r="C87" s="118" t="s">
        <v>13</v>
      </c>
      <c r="D87" s="19" t="s">
        <v>14</v>
      </c>
      <c r="E87" s="118" t="s">
        <v>135</v>
      </c>
      <c r="F87" s="19" t="s">
        <v>16</v>
      </c>
      <c r="G87" s="118"/>
      <c r="H87" s="19"/>
      <c r="I87" s="118" t="s">
        <v>17</v>
      </c>
      <c r="J87" s="58">
        <v>37941</v>
      </c>
      <c r="K87" s="116">
        <f t="shared" si="2"/>
        <v>86</v>
      </c>
      <c r="L87" s="19"/>
      <c r="M87" s="20"/>
    </row>
    <row r="88" s="17" customFormat="1" ht="21" customHeight="1" spans="1:13">
      <c r="A88" s="116">
        <f t="shared" si="3"/>
        <v>87</v>
      </c>
      <c r="B88" s="119">
        <v>1835320</v>
      </c>
      <c r="C88" s="118" t="s">
        <v>13</v>
      </c>
      <c r="D88" s="19" t="s">
        <v>29</v>
      </c>
      <c r="E88" s="118" t="s">
        <v>136</v>
      </c>
      <c r="F88" s="19" t="s">
        <v>65</v>
      </c>
      <c r="G88" s="118" t="s">
        <v>58</v>
      </c>
      <c r="H88" s="19"/>
      <c r="I88" s="118" t="s">
        <v>17</v>
      </c>
      <c r="J88" s="58">
        <v>37941</v>
      </c>
      <c r="K88" s="116">
        <f t="shared" si="2"/>
        <v>87</v>
      </c>
      <c r="L88" s="19"/>
      <c r="M88" s="20"/>
    </row>
    <row r="89" s="17" customFormat="1" ht="21" customHeight="1" spans="1:13">
      <c r="A89" s="116">
        <f t="shared" si="3"/>
        <v>88</v>
      </c>
      <c r="B89" s="119">
        <v>1835300</v>
      </c>
      <c r="C89" s="118" t="s">
        <v>13</v>
      </c>
      <c r="D89" s="19" t="s">
        <v>29</v>
      </c>
      <c r="E89" s="118" t="s">
        <v>137</v>
      </c>
      <c r="F89" s="19" t="s">
        <v>65</v>
      </c>
      <c r="G89" s="118" t="s">
        <v>58</v>
      </c>
      <c r="H89" s="19"/>
      <c r="I89" s="118" t="s">
        <v>17</v>
      </c>
      <c r="J89" s="58">
        <v>37941</v>
      </c>
      <c r="K89" s="116">
        <f t="shared" si="2"/>
        <v>88</v>
      </c>
      <c r="L89" s="19"/>
      <c r="M89" s="20"/>
    </row>
    <row r="90" s="17" customFormat="1" ht="21" customHeight="1" spans="1:13">
      <c r="A90" s="116">
        <f t="shared" si="3"/>
        <v>89</v>
      </c>
      <c r="B90" s="119">
        <v>1835200</v>
      </c>
      <c r="C90" s="118" t="s">
        <v>13</v>
      </c>
      <c r="D90" s="19" t="s">
        <v>29</v>
      </c>
      <c r="E90" s="118" t="s">
        <v>138</v>
      </c>
      <c r="F90" s="19" t="s">
        <v>65</v>
      </c>
      <c r="G90" s="118" t="s">
        <v>75</v>
      </c>
      <c r="H90" s="19"/>
      <c r="I90" s="118" t="s">
        <v>17</v>
      </c>
      <c r="J90" s="58">
        <v>37941</v>
      </c>
      <c r="K90" s="116">
        <f t="shared" si="2"/>
        <v>89</v>
      </c>
      <c r="L90" s="19"/>
      <c r="M90" s="20"/>
    </row>
    <row r="91" s="17" customFormat="1" ht="21" customHeight="1" spans="1:13">
      <c r="A91" s="116">
        <f t="shared" si="3"/>
        <v>90</v>
      </c>
      <c r="B91" s="119">
        <v>1835100</v>
      </c>
      <c r="C91" s="118" t="s">
        <v>13</v>
      </c>
      <c r="D91" s="19" t="s">
        <v>29</v>
      </c>
      <c r="E91" s="118" t="s">
        <v>139</v>
      </c>
      <c r="F91" s="19" t="s">
        <v>65</v>
      </c>
      <c r="G91" s="118" t="s">
        <v>75</v>
      </c>
      <c r="H91" s="19"/>
      <c r="I91" s="118" t="s">
        <v>17</v>
      </c>
      <c r="J91" s="58">
        <v>37941</v>
      </c>
      <c r="K91" s="116">
        <f t="shared" si="2"/>
        <v>90</v>
      </c>
      <c r="L91" s="19"/>
      <c r="M91" s="20"/>
    </row>
    <row r="92" s="17" customFormat="1" ht="21" customHeight="1" spans="1:13">
      <c r="A92" s="116">
        <f t="shared" si="3"/>
        <v>91</v>
      </c>
      <c r="B92" s="119">
        <v>1834150</v>
      </c>
      <c r="C92" s="118" t="s">
        <v>13</v>
      </c>
      <c r="D92" s="19" t="s">
        <v>59</v>
      </c>
      <c r="E92" s="118" t="s">
        <v>140</v>
      </c>
      <c r="F92" s="19" t="s">
        <v>16</v>
      </c>
      <c r="G92" s="118"/>
      <c r="H92" s="19"/>
      <c r="I92" s="118" t="s">
        <v>20</v>
      </c>
      <c r="J92" s="58">
        <v>37941</v>
      </c>
      <c r="K92" s="116">
        <f t="shared" si="2"/>
        <v>91</v>
      </c>
      <c r="L92" s="19"/>
      <c r="M92" s="20"/>
    </row>
    <row r="93" s="17" customFormat="1" ht="21" customHeight="1" spans="1:13">
      <c r="A93" s="116">
        <f t="shared" si="3"/>
        <v>92</v>
      </c>
      <c r="B93" s="119">
        <v>1834100</v>
      </c>
      <c r="C93" s="118" t="s">
        <v>13</v>
      </c>
      <c r="D93" s="19" t="s">
        <v>14</v>
      </c>
      <c r="E93" s="118" t="s">
        <v>141</v>
      </c>
      <c r="F93" s="19" t="s">
        <v>16</v>
      </c>
      <c r="G93" s="118"/>
      <c r="H93" s="19"/>
      <c r="I93" s="118" t="s">
        <v>20</v>
      </c>
      <c r="J93" s="58">
        <v>37941</v>
      </c>
      <c r="K93" s="116">
        <f t="shared" si="2"/>
        <v>92</v>
      </c>
      <c r="L93" s="19"/>
      <c r="M93" s="20"/>
    </row>
    <row r="94" s="17" customFormat="1" ht="21" customHeight="1" spans="1:13">
      <c r="A94" s="116">
        <f t="shared" si="3"/>
        <v>93</v>
      </c>
      <c r="B94" s="119">
        <v>1834100</v>
      </c>
      <c r="C94" s="118" t="s">
        <v>13</v>
      </c>
      <c r="D94" s="19" t="s">
        <v>82</v>
      </c>
      <c r="E94" s="118" t="s">
        <v>142</v>
      </c>
      <c r="F94" s="19" t="s">
        <v>31</v>
      </c>
      <c r="G94" s="118" t="s">
        <v>40</v>
      </c>
      <c r="H94" s="19"/>
      <c r="I94" s="118" t="s">
        <v>17</v>
      </c>
      <c r="J94" s="58">
        <v>37941</v>
      </c>
      <c r="K94" s="116">
        <f t="shared" si="2"/>
        <v>93</v>
      </c>
      <c r="L94" s="19"/>
      <c r="M94" s="20"/>
    </row>
    <row r="95" s="17" customFormat="1" ht="21" customHeight="1" spans="1:13">
      <c r="A95" s="116">
        <f t="shared" si="3"/>
        <v>94</v>
      </c>
      <c r="B95" s="119">
        <v>1834100</v>
      </c>
      <c r="C95" s="118" t="s">
        <v>13</v>
      </c>
      <c r="D95" s="19" t="s">
        <v>82</v>
      </c>
      <c r="E95" s="118" t="s">
        <v>143</v>
      </c>
      <c r="F95" s="19" t="s">
        <v>31</v>
      </c>
      <c r="G95" s="118" t="s">
        <v>40</v>
      </c>
      <c r="H95" s="19"/>
      <c r="I95" s="118" t="s">
        <v>17</v>
      </c>
      <c r="J95" s="58">
        <v>37941</v>
      </c>
      <c r="K95" s="116">
        <f t="shared" si="2"/>
        <v>94</v>
      </c>
      <c r="L95" s="19"/>
      <c r="M95" s="20"/>
    </row>
    <row r="96" s="17" customFormat="1" ht="21" customHeight="1" spans="1:13">
      <c r="A96" s="116">
        <f t="shared" si="3"/>
        <v>95</v>
      </c>
      <c r="B96" s="119">
        <v>1834000</v>
      </c>
      <c r="C96" s="118" t="s">
        <v>13</v>
      </c>
      <c r="D96" s="19" t="s">
        <v>14</v>
      </c>
      <c r="E96" s="118" t="s">
        <v>144</v>
      </c>
      <c r="F96" s="19" t="s">
        <v>16</v>
      </c>
      <c r="G96" s="118"/>
      <c r="H96" s="19"/>
      <c r="I96" s="118" t="s">
        <v>20</v>
      </c>
      <c r="J96" s="58">
        <v>37941</v>
      </c>
      <c r="K96" s="116">
        <f t="shared" si="2"/>
        <v>95</v>
      </c>
      <c r="L96" s="19"/>
      <c r="M96" s="20"/>
    </row>
    <row r="97" s="17" customFormat="1" ht="21" customHeight="1" spans="1:13">
      <c r="A97" s="116">
        <f t="shared" si="3"/>
        <v>96</v>
      </c>
      <c r="B97" s="119" t="s">
        <v>145</v>
      </c>
      <c r="C97" s="118" t="s">
        <v>13</v>
      </c>
      <c r="D97" s="19" t="s">
        <v>14</v>
      </c>
      <c r="E97" s="118" t="s">
        <v>146</v>
      </c>
      <c r="F97" s="19" t="s">
        <v>16</v>
      </c>
      <c r="G97" s="118"/>
      <c r="H97" s="19"/>
      <c r="I97" s="118" t="s">
        <v>36</v>
      </c>
      <c r="J97" s="58">
        <v>37941</v>
      </c>
      <c r="K97" s="116">
        <f t="shared" si="2"/>
        <v>96</v>
      </c>
      <c r="L97" s="19"/>
      <c r="M97" s="20"/>
    </row>
    <row r="98" s="17" customFormat="1" ht="21" customHeight="1" spans="1:13">
      <c r="A98" s="116">
        <f t="shared" si="3"/>
        <v>97</v>
      </c>
      <c r="B98" s="119" t="s">
        <v>147</v>
      </c>
      <c r="C98" s="118" t="s">
        <v>13</v>
      </c>
      <c r="D98" s="19" t="s">
        <v>29</v>
      </c>
      <c r="E98" s="118" t="s">
        <v>57</v>
      </c>
      <c r="F98" s="19" t="s">
        <v>65</v>
      </c>
      <c r="G98" s="118" t="s">
        <v>148</v>
      </c>
      <c r="H98" s="19"/>
      <c r="I98" s="118" t="s">
        <v>17</v>
      </c>
      <c r="J98" s="58">
        <v>37941</v>
      </c>
      <c r="K98" s="116">
        <f t="shared" si="2"/>
        <v>97</v>
      </c>
      <c r="L98" s="19"/>
      <c r="M98" s="20"/>
    </row>
    <row r="99" s="17" customFormat="1" ht="21" customHeight="1" spans="1:13">
      <c r="A99" s="116">
        <f t="shared" si="3"/>
        <v>98</v>
      </c>
      <c r="B99" s="119">
        <v>1833850</v>
      </c>
      <c r="C99" s="118" t="s">
        <v>13</v>
      </c>
      <c r="D99" s="19" t="s">
        <v>14</v>
      </c>
      <c r="E99" s="118" t="s">
        <v>149</v>
      </c>
      <c r="F99" s="19" t="s">
        <v>16</v>
      </c>
      <c r="G99" s="118" t="s">
        <v>99</v>
      </c>
      <c r="H99" s="19"/>
      <c r="I99" s="118" t="s">
        <v>36</v>
      </c>
      <c r="J99" s="58">
        <v>37941</v>
      </c>
      <c r="K99" s="116">
        <f t="shared" si="2"/>
        <v>98</v>
      </c>
      <c r="L99" s="19"/>
      <c r="M99" s="20"/>
    </row>
    <row r="100" s="17" customFormat="1" ht="21" customHeight="1" spans="1:13">
      <c r="A100" s="116">
        <f t="shared" si="3"/>
        <v>99</v>
      </c>
      <c r="B100" s="119">
        <v>1833700</v>
      </c>
      <c r="C100" s="118" t="s">
        <v>13</v>
      </c>
      <c r="D100" s="19" t="s">
        <v>29</v>
      </c>
      <c r="E100" s="118" t="s">
        <v>64</v>
      </c>
      <c r="F100" s="19" t="s">
        <v>65</v>
      </c>
      <c r="G100" s="118" t="s">
        <v>58</v>
      </c>
      <c r="H100" s="19"/>
      <c r="I100" s="118" t="s">
        <v>17</v>
      </c>
      <c r="J100" s="58">
        <v>37941</v>
      </c>
      <c r="K100" s="116">
        <f t="shared" si="2"/>
        <v>99</v>
      </c>
      <c r="L100" s="19"/>
      <c r="M100" s="20"/>
    </row>
    <row r="101" s="17" customFormat="1" ht="21" customHeight="1" spans="1:13">
      <c r="A101" s="116">
        <f t="shared" si="3"/>
        <v>100</v>
      </c>
      <c r="B101" s="119">
        <v>1833500</v>
      </c>
      <c r="C101" s="118" t="s">
        <v>13</v>
      </c>
      <c r="D101" s="19" t="s">
        <v>59</v>
      </c>
      <c r="E101" s="118" t="s">
        <v>150</v>
      </c>
      <c r="F101" s="19" t="s">
        <v>16</v>
      </c>
      <c r="G101" s="118" t="s">
        <v>101</v>
      </c>
      <c r="H101" s="19"/>
      <c r="I101" s="118" t="s">
        <v>36</v>
      </c>
      <c r="J101" s="58">
        <v>37941</v>
      </c>
      <c r="K101" s="116">
        <f t="shared" si="2"/>
        <v>100</v>
      </c>
      <c r="L101" s="19"/>
      <c r="M101" s="20"/>
    </row>
    <row r="102" s="17" customFormat="1" ht="21" customHeight="1" spans="1:13">
      <c r="A102" s="116">
        <f t="shared" si="3"/>
        <v>101</v>
      </c>
      <c r="B102" s="119">
        <v>1832500</v>
      </c>
      <c r="C102" s="118" t="s">
        <v>13</v>
      </c>
      <c r="D102" s="19" t="s">
        <v>18</v>
      </c>
      <c r="E102" s="118" t="s">
        <v>88</v>
      </c>
      <c r="F102" s="19" t="s">
        <v>16</v>
      </c>
      <c r="G102" s="118" t="s">
        <v>151</v>
      </c>
      <c r="H102" s="19"/>
      <c r="I102" s="118" t="s">
        <v>17</v>
      </c>
      <c r="J102" s="58">
        <v>37941</v>
      </c>
      <c r="K102" s="116">
        <f t="shared" si="2"/>
        <v>101</v>
      </c>
      <c r="L102" s="19"/>
      <c r="M102" s="20"/>
    </row>
    <row r="103" s="17" customFormat="1" ht="21" customHeight="1" spans="1:13">
      <c r="A103" s="116">
        <f t="shared" si="3"/>
        <v>102</v>
      </c>
      <c r="B103" s="119">
        <v>1831900</v>
      </c>
      <c r="C103" s="118" t="s">
        <v>13</v>
      </c>
      <c r="D103" s="19" t="s">
        <v>14</v>
      </c>
      <c r="E103" s="118" t="s">
        <v>152</v>
      </c>
      <c r="F103" s="19" t="s">
        <v>16</v>
      </c>
      <c r="G103" s="118" t="s">
        <v>99</v>
      </c>
      <c r="H103" s="19"/>
      <c r="I103" s="118" t="s">
        <v>36</v>
      </c>
      <c r="J103" s="58">
        <v>37941</v>
      </c>
      <c r="K103" s="116">
        <f t="shared" si="2"/>
        <v>102</v>
      </c>
      <c r="L103" s="19"/>
      <c r="M103" s="20"/>
    </row>
    <row r="104" s="17" customFormat="1" ht="21" customHeight="1" spans="1:13">
      <c r="A104" s="116">
        <f t="shared" si="3"/>
        <v>103</v>
      </c>
      <c r="B104" s="119">
        <v>1831400</v>
      </c>
      <c r="C104" s="118" t="s">
        <v>13</v>
      </c>
      <c r="D104" s="19" t="s">
        <v>14</v>
      </c>
      <c r="E104" s="118" t="s">
        <v>153</v>
      </c>
      <c r="F104" s="19" t="s">
        <v>16</v>
      </c>
      <c r="G104" s="118" t="s">
        <v>99</v>
      </c>
      <c r="H104" s="19"/>
      <c r="I104" s="118" t="s">
        <v>36</v>
      </c>
      <c r="J104" s="58">
        <v>37941</v>
      </c>
      <c r="K104" s="116">
        <f t="shared" si="2"/>
        <v>103</v>
      </c>
      <c r="L104" s="19"/>
      <c r="M104" s="20"/>
    </row>
    <row r="105" s="17" customFormat="1" ht="21" customHeight="1" spans="1:13">
      <c r="A105" s="116">
        <f t="shared" si="3"/>
        <v>104</v>
      </c>
      <c r="B105" s="119" t="s">
        <v>154</v>
      </c>
      <c r="C105" s="118" t="s">
        <v>13</v>
      </c>
      <c r="D105" s="19" t="s">
        <v>14</v>
      </c>
      <c r="E105" s="118" t="s">
        <v>155</v>
      </c>
      <c r="F105" s="19" t="s">
        <v>16</v>
      </c>
      <c r="G105" s="118" t="s">
        <v>99</v>
      </c>
      <c r="H105" s="19"/>
      <c r="I105" s="118" t="s">
        <v>36</v>
      </c>
      <c r="J105" s="58">
        <v>37941</v>
      </c>
      <c r="K105" s="116">
        <f t="shared" si="2"/>
        <v>104</v>
      </c>
      <c r="L105" s="19"/>
      <c r="M105" s="20"/>
    </row>
    <row r="106" s="17" customFormat="1" ht="21" customHeight="1" spans="1:13">
      <c r="A106" s="116">
        <f t="shared" si="3"/>
        <v>105</v>
      </c>
      <c r="B106" s="119" t="s">
        <v>156</v>
      </c>
      <c r="C106" s="118" t="s">
        <v>13</v>
      </c>
      <c r="D106" s="19" t="s">
        <v>82</v>
      </c>
      <c r="E106" s="118" t="s">
        <v>109</v>
      </c>
      <c r="F106" s="19" t="s">
        <v>31</v>
      </c>
      <c r="G106" s="118" t="s">
        <v>32</v>
      </c>
      <c r="H106" s="19"/>
      <c r="I106" s="118" t="s">
        <v>17</v>
      </c>
      <c r="J106" s="58">
        <v>44866</v>
      </c>
      <c r="K106" s="116">
        <f t="shared" si="2"/>
        <v>105</v>
      </c>
      <c r="L106" s="19"/>
      <c r="M106" s="20"/>
    </row>
    <row r="107" s="17" customFormat="1" ht="21" customHeight="1" spans="1:13">
      <c r="A107" s="116">
        <f t="shared" si="3"/>
        <v>106</v>
      </c>
      <c r="B107" s="119" t="s">
        <v>157</v>
      </c>
      <c r="C107" s="118" t="s">
        <v>13</v>
      </c>
      <c r="D107" s="19" t="s">
        <v>82</v>
      </c>
      <c r="E107" s="118" t="s">
        <v>111</v>
      </c>
      <c r="F107" s="19" t="s">
        <v>31</v>
      </c>
      <c r="G107" s="118" t="s">
        <v>112</v>
      </c>
      <c r="H107" s="19"/>
      <c r="I107" s="118" t="s">
        <v>17</v>
      </c>
      <c r="J107" s="58">
        <v>37941</v>
      </c>
      <c r="K107" s="116">
        <f t="shared" si="2"/>
        <v>106</v>
      </c>
      <c r="L107" s="19"/>
      <c r="M107" s="20"/>
    </row>
    <row r="108" s="17" customFormat="1" ht="21" customHeight="1" spans="1:13">
      <c r="A108" s="116">
        <f t="shared" si="3"/>
        <v>107</v>
      </c>
      <c r="B108" s="119" t="s">
        <v>158</v>
      </c>
      <c r="C108" s="118" t="s">
        <v>13</v>
      </c>
      <c r="D108" s="19" t="s">
        <v>82</v>
      </c>
      <c r="E108" s="118" t="s">
        <v>114</v>
      </c>
      <c r="F108" s="19" t="s">
        <v>31</v>
      </c>
      <c r="G108" s="118" t="s">
        <v>112</v>
      </c>
      <c r="H108" s="19"/>
      <c r="I108" s="118" t="s">
        <v>17</v>
      </c>
      <c r="J108" s="58">
        <v>37941</v>
      </c>
      <c r="K108" s="116">
        <f t="shared" si="2"/>
        <v>107</v>
      </c>
      <c r="L108" s="19"/>
      <c r="M108" s="20"/>
    </row>
    <row r="109" s="17" customFormat="1" ht="21" customHeight="1" spans="1:13">
      <c r="A109" s="116">
        <f t="shared" si="3"/>
        <v>108</v>
      </c>
      <c r="B109" s="119" t="s">
        <v>159</v>
      </c>
      <c r="C109" s="118" t="s">
        <v>13</v>
      </c>
      <c r="D109" s="19" t="s">
        <v>14</v>
      </c>
      <c r="E109" s="118" t="s">
        <v>160</v>
      </c>
      <c r="F109" s="19" t="s">
        <v>16</v>
      </c>
      <c r="G109" s="118" t="s">
        <v>99</v>
      </c>
      <c r="H109" s="19"/>
      <c r="I109" s="118" t="s">
        <v>36</v>
      </c>
      <c r="J109" s="58">
        <v>37941</v>
      </c>
      <c r="K109" s="116">
        <f t="shared" si="2"/>
        <v>108</v>
      </c>
      <c r="L109" s="19"/>
      <c r="M109" s="20"/>
    </row>
    <row r="110" s="17" customFormat="1" ht="21" customHeight="1" spans="1:13">
      <c r="A110" s="116">
        <f t="shared" si="3"/>
        <v>109</v>
      </c>
      <c r="B110" s="119">
        <v>1830100</v>
      </c>
      <c r="C110" s="118" t="s">
        <v>13</v>
      </c>
      <c r="D110" s="19" t="s">
        <v>29</v>
      </c>
      <c r="E110" s="118" t="s">
        <v>161</v>
      </c>
      <c r="F110" s="19" t="s">
        <v>16</v>
      </c>
      <c r="G110" s="118" t="s">
        <v>162</v>
      </c>
      <c r="H110" s="19"/>
      <c r="I110" s="118" t="s">
        <v>20</v>
      </c>
      <c r="J110" s="58">
        <v>37941</v>
      </c>
      <c r="K110" s="116">
        <f t="shared" si="2"/>
        <v>109</v>
      </c>
      <c r="L110" s="19"/>
      <c r="M110" s="20"/>
    </row>
    <row r="111" s="17" customFormat="1" ht="21" customHeight="1" spans="1:13">
      <c r="A111" s="116">
        <f t="shared" si="3"/>
        <v>110</v>
      </c>
      <c r="B111" s="119">
        <v>1829950</v>
      </c>
      <c r="C111" s="118" t="s">
        <v>13</v>
      </c>
      <c r="D111" s="19" t="s">
        <v>29</v>
      </c>
      <c r="E111" s="118" t="s">
        <v>57</v>
      </c>
      <c r="F111" s="19" t="s">
        <v>65</v>
      </c>
      <c r="G111" s="118" t="s">
        <v>58</v>
      </c>
      <c r="H111" s="19"/>
      <c r="I111" s="118" t="s">
        <v>17</v>
      </c>
      <c r="J111" s="58">
        <v>37941</v>
      </c>
      <c r="K111" s="116">
        <f t="shared" si="2"/>
        <v>110</v>
      </c>
      <c r="L111" s="19"/>
      <c r="M111" s="20"/>
    </row>
    <row r="112" s="17" customFormat="1" ht="21" customHeight="1" spans="1:13">
      <c r="A112" s="116">
        <f t="shared" si="3"/>
        <v>111</v>
      </c>
      <c r="B112" s="119">
        <v>1829850</v>
      </c>
      <c r="C112" s="118" t="s">
        <v>13</v>
      </c>
      <c r="D112" s="19" t="s">
        <v>18</v>
      </c>
      <c r="E112" s="118" t="s">
        <v>163</v>
      </c>
      <c r="F112" s="19" t="s">
        <v>16</v>
      </c>
      <c r="G112" s="118" t="s">
        <v>125</v>
      </c>
      <c r="H112" s="19"/>
      <c r="I112" s="118" t="s">
        <v>20</v>
      </c>
      <c r="J112" s="58">
        <v>37941</v>
      </c>
      <c r="K112" s="116">
        <f t="shared" si="2"/>
        <v>111</v>
      </c>
      <c r="L112" s="19"/>
      <c r="M112" s="20"/>
    </row>
    <row r="113" s="17" customFormat="1" ht="21" customHeight="1" spans="1:13">
      <c r="A113" s="116">
        <f t="shared" si="3"/>
        <v>112</v>
      </c>
      <c r="B113" s="119">
        <v>1829840</v>
      </c>
      <c r="C113" s="118" t="s">
        <v>13</v>
      </c>
      <c r="D113" s="19" t="s">
        <v>18</v>
      </c>
      <c r="E113" s="118" t="s">
        <v>88</v>
      </c>
      <c r="F113" s="19" t="s">
        <v>16</v>
      </c>
      <c r="G113" s="118" t="s">
        <v>151</v>
      </c>
      <c r="H113" s="19"/>
      <c r="I113" s="118" t="s">
        <v>17</v>
      </c>
      <c r="J113" s="58">
        <v>37941</v>
      </c>
      <c r="K113" s="116">
        <f t="shared" si="2"/>
        <v>112</v>
      </c>
      <c r="L113" s="19"/>
      <c r="M113" s="20"/>
    </row>
    <row r="114" s="17" customFormat="1" ht="21" customHeight="1" spans="1:13">
      <c r="A114" s="116">
        <f t="shared" si="3"/>
        <v>113</v>
      </c>
      <c r="B114" s="119">
        <v>1829810</v>
      </c>
      <c r="C114" s="118" t="s">
        <v>13</v>
      </c>
      <c r="D114" s="19" t="s">
        <v>29</v>
      </c>
      <c r="E114" s="118" t="s">
        <v>64</v>
      </c>
      <c r="F114" s="19" t="s">
        <v>65</v>
      </c>
      <c r="G114" s="118" t="s">
        <v>58</v>
      </c>
      <c r="H114" s="19"/>
      <c r="I114" s="118" t="s">
        <v>17</v>
      </c>
      <c r="J114" s="58">
        <v>37941</v>
      </c>
      <c r="K114" s="116">
        <f t="shared" si="2"/>
        <v>113</v>
      </c>
      <c r="L114" s="19"/>
      <c r="M114" s="20"/>
    </row>
    <row r="115" s="17" customFormat="1" ht="21" customHeight="1" spans="1:13">
      <c r="A115" s="116">
        <f t="shared" si="3"/>
        <v>114</v>
      </c>
      <c r="B115" s="119">
        <v>1829700</v>
      </c>
      <c r="C115" s="118" t="s">
        <v>13</v>
      </c>
      <c r="D115" s="19" t="s">
        <v>29</v>
      </c>
      <c r="E115" s="118" t="s">
        <v>164</v>
      </c>
      <c r="F115" s="19" t="s">
        <v>65</v>
      </c>
      <c r="G115" s="118" t="s">
        <v>58</v>
      </c>
      <c r="H115" s="19"/>
      <c r="I115" s="118" t="s">
        <v>17</v>
      </c>
      <c r="J115" s="58">
        <v>37941</v>
      </c>
      <c r="K115" s="116">
        <f t="shared" si="2"/>
        <v>114</v>
      </c>
      <c r="L115" s="19"/>
      <c r="M115" s="20"/>
    </row>
    <row r="116" s="17" customFormat="1" ht="21" customHeight="1" spans="1:13">
      <c r="A116" s="116">
        <f t="shared" si="3"/>
        <v>115</v>
      </c>
      <c r="B116" s="119">
        <v>1829470</v>
      </c>
      <c r="C116" s="118" t="s">
        <v>13</v>
      </c>
      <c r="D116" s="19" t="s">
        <v>29</v>
      </c>
      <c r="E116" s="118" t="s">
        <v>165</v>
      </c>
      <c r="F116" s="19" t="s">
        <v>31</v>
      </c>
      <c r="G116" s="118" t="s">
        <v>40</v>
      </c>
      <c r="H116" s="19"/>
      <c r="I116" s="118" t="s">
        <v>17</v>
      </c>
      <c r="J116" s="58">
        <v>37941</v>
      </c>
      <c r="K116" s="116">
        <f t="shared" si="2"/>
        <v>115</v>
      </c>
      <c r="L116" s="19"/>
      <c r="M116" s="20"/>
    </row>
    <row r="117" s="17" customFormat="1" ht="21" customHeight="1" spans="1:13">
      <c r="A117" s="116">
        <f t="shared" si="3"/>
        <v>116</v>
      </c>
      <c r="B117" s="119" t="s">
        <v>166</v>
      </c>
      <c r="C117" s="118" t="s">
        <v>13</v>
      </c>
      <c r="D117" s="19" t="s">
        <v>14</v>
      </c>
      <c r="E117" s="118" t="s">
        <v>167</v>
      </c>
      <c r="F117" s="19" t="s">
        <v>16</v>
      </c>
      <c r="G117" s="118"/>
      <c r="H117" s="19"/>
      <c r="I117" s="118" t="s">
        <v>20</v>
      </c>
      <c r="J117" s="58">
        <v>37941</v>
      </c>
      <c r="K117" s="116">
        <f t="shared" si="2"/>
        <v>116</v>
      </c>
      <c r="L117" s="19"/>
      <c r="M117" s="20"/>
    </row>
    <row r="118" s="17" customFormat="1" ht="21" customHeight="1" spans="1:13">
      <c r="A118" s="116">
        <f t="shared" si="3"/>
        <v>117</v>
      </c>
      <c r="B118" s="119">
        <f>1852400-23760</f>
        <v>1828640</v>
      </c>
      <c r="C118" s="118" t="s">
        <v>13</v>
      </c>
      <c r="D118" s="19" t="s">
        <v>14</v>
      </c>
      <c r="E118" s="118" t="s">
        <v>168</v>
      </c>
      <c r="F118" s="19" t="s">
        <v>16</v>
      </c>
      <c r="G118" s="118" t="s">
        <v>128</v>
      </c>
      <c r="H118" s="19"/>
      <c r="I118" s="118" t="s">
        <v>36</v>
      </c>
      <c r="J118" s="58">
        <v>37941</v>
      </c>
      <c r="K118" s="116">
        <f t="shared" ref="K118:K181" si="4">A118</f>
        <v>117</v>
      </c>
      <c r="L118" s="19"/>
      <c r="M118" s="20"/>
    </row>
    <row r="119" s="17" customFormat="1" ht="21" customHeight="1" spans="1:13">
      <c r="A119" s="116">
        <f t="shared" si="3"/>
        <v>118</v>
      </c>
      <c r="B119" s="119">
        <v>1828240</v>
      </c>
      <c r="C119" s="118" t="s">
        <v>13</v>
      </c>
      <c r="D119" s="19" t="s">
        <v>14</v>
      </c>
      <c r="E119" s="118" t="s">
        <v>169</v>
      </c>
      <c r="F119" s="19" t="s">
        <v>16</v>
      </c>
      <c r="G119" s="118"/>
      <c r="H119" s="19"/>
      <c r="I119" s="118" t="s">
        <v>20</v>
      </c>
      <c r="J119" s="58">
        <v>37941</v>
      </c>
      <c r="K119" s="116">
        <f t="shared" si="4"/>
        <v>118</v>
      </c>
      <c r="L119" s="19"/>
      <c r="M119" s="20"/>
    </row>
    <row r="120" s="17" customFormat="1" ht="21" customHeight="1" spans="1:13">
      <c r="A120" s="116">
        <f t="shared" si="3"/>
        <v>119</v>
      </c>
      <c r="B120" s="119">
        <v>1827900</v>
      </c>
      <c r="C120" s="118" t="s">
        <v>13</v>
      </c>
      <c r="D120" s="19" t="s">
        <v>14</v>
      </c>
      <c r="E120" s="118" t="s">
        <v>170</v>
      </c>
      <c r="F120" s="19" t="s">
        <v>16</v>
      </c>
      <c r="G120" s="118" t="s">
        <v>128</v>
      </c>
      <c r="H120" s="19"/>
      <c r="I120" s="118" t="s">
        <v>20</v>
      </c>
      <c r="J120" s="58">
        <v>37941</v>
      </c>
      <c r="K120" s="116">
        <f t="shared" si="4"/>
        <v>119</v>
      </c>
      <c r="L120" s="19"/>
      <c r="M120" s="20"/>
    </row>
    <row r="121" s="17" customFormat="1" ht="21" customHeight="1" spans="1:13">
      <c r="A121" s="116">
        <f t="shared" si="3"/>
        <v>120</v>
      </c>
      <c r="B121" s="119">
        <v>1827750</v>
      </c>
      <c r="C121" s="118" t="s">
        <v>13</v>
      </c>
      <c r="D121" s="19" t="s">
        <v>18</v>
      </c>
      <c r="E121" s="118" t="s">
        <v>19</v>
      </c>
      <c r="F121" s="19" t="s">
        <v>16</v>
      </c>
      <c r="G121" s="118" t="s">
        <v>71</v>
      </c>
      <c r="H121" s="19"/>
      <c r="I121" s="118" t="s">
        <v>36</v>
      </c>
      <c r="J121" s="58">
        <v>37941</v>
      </c>
      <c r="K121" s="116">
        <f t="shared" si="4"/>
        <v>120</v>
      </c>
      <c r="L121" s="19"/>
      <c r="M121" s="20"/>
    </row>
    <row r="122" s="17" customFormat="1" ht="21" customHeight="1" spans="1:13">
      <c r="A122" s="116">
        <f t="shared" si="3"/>
        <v>121</v>
      </c>
      <c r="B122" s="119">
        <v>1827700</v>
      </c>
      <c r="C122" s="118" t="s">
        <v>13</v>
      </c>
      <c r="D122" s="19" t="s">
        <v>18</v>
      </c>
      <c r="E122" s="118" t="s">
        <v>171</v>
      </c>
      <c r="F122" s="19" t="s">
        <v>16</v>
      </c>
      <c r="G122" s="118" t="s">
        <v>77</v>
      </c>
      <c r="H122" s="19"/>
      <c r="I122" s="118" t="s">
        <v>20</v>
      </c>
      <c r="J122" s="58">
        <v>37941</v>
      </c>
      <c r="K122" s="116">
        <f t="shared" si="4"/>
        <v>121</v>
      </c>
      <c r="L122" s="19"/>
      <c r="M122" s="20"/>
    </row>
    <row r="123" s="17" customFormat="1" ht="21" customHeight="1" spans="1:13">
      <c r="A123" s="116">
        <f t="shared" si="3"/>
        <v>122</v>
      </c>
      <c r="B123" s="119" t="s">
        <v>172</v>
      </c>
      <c r="C123" s="118" t="s">
        <v>13</v>
      </c>
      <c r="D123" s="19" t="s">
        <v>29</v>
      </c>
      <c r="E123" s="118" t="s">
        <v>109</v>
      </c>
      <c r="F123" s="19" t="s">
        <v>65</v>
      </c>
      <c r="G123" s="118" t="s">
        <v>148</v>
      </c>
      <c r="H123" s="19"/>
      <c r="I123" s="118" t="s">
        <v>173</v>
      </c>
      <c r="J123" s="58">
        <v>37941</v>
      </c>
      <c r="K123" s="116">
        <f t="shared" si="4"/>
        <v>122</v>
      </c>
      <c r="L123" s="19"/>
      <c r="M123" s="20"/>
    </row>
    <row r="124" s="17" customFormat="1" ht="21" customHeight="1" spans="1:13">
      <c r="A124" s="116">
        <f t="shared" si="3"/>
        <v>123</v>
      </c>
      <c r="B124" s="119">
        <v>1827600</v>
      </c>
      <c r="C124" s="118" t="s">
        <v>13</v>
      </c>
      <c r="D124" s="19" t="s">
        <v>29</v>
      </c>
      <c r="E124" s="118" t="s">
        <v>111</v>
      </c>
      <c r="F124" s="19" t="s">
        <v>65</v>
      </c>
      <c r="G124" s="118" t="s">
        <v>148</v>
      </c>
      <c r="H124" s="19"/>
      <c r="I124" s="118" t="s">
        <v>17</v>
      </c>
      <c r="J124" s="58">
        <v>37941</v>
      </c>
      <c r="K124" s="116">
        <f t="shared" si="4"/>
        <v>123</v>
      </c>
      <c r="L124" s="19"/>
      <c r="M124" s="20"/>
    </row>
    <row r="125" s="17" customFormat="1" ht="21" customHeight="1" spans="1:13">
      <c r="A125" s="116">
        <f t="shared" si="3"/>
        <v>124</v>
      </c>
      <c r="B125" s="119">
        <v>1827550</v>
      </c>
      <c r="C125" s="118" t="s">
        <v>13</v>
      </c>
      <c r="D125" s="19" t="s">
        <v>14</v>
      </c>
      <c r="E125" s="118" t="s">
        <v>174</v>
      </c>
      <c r="F125" s="19" t="s">
        <v>16</v>
      </c>
      <c r="G125" s="118" t="s">
        <v>128</v>
      </c>
      <c r="H125" s="19"/>
      <c r="I125" s="118" t="s">
        <v>36</v>
      </c>
      <c r="J125" s="58">
        <v>37941</v>
      </c>
      <c r="K125" s="116">
        <f t="shared" si="4"/>
        <v>124</v>
      </c>
      <c r="L125" s="19"/>
      <c r="M125" s="20"/>
    </row>
    <row r="126" s="17" customFormat="1" ht="21" customHeight="1" spans="1:13">
      <c r="A126" s="116">
        <f t="shared" si="3"/>
        <v>125</v>
      </c>
      <c r="B126" s="119">
        <v>1827500</v>
      </c>
      <c r="C126" s="118" t="s">
        <v>13</v>
      </c>
      <c r="D126" s="19" t="s">
        <v>18</v>
      </c>
      <c r="E126" s="118" t="s">
        <v>175</v>
      </c>
      <c r="F126" s="19" t="s">
        <v>16</v>
      </c>
      <c r="G126" s="118" t="s">
        <v>176</v>
      </c>
      <c r="H126" s="19"/>
      <c r="I126" s="118" t="s">
        <v>20</v>
      </c>
      <c r="J126" s="58">
        <v>37941</v>
      </c>
      <c r="K126" s="116">
        <f t="shared" si="4"/>
        <v>125</v>
      </c>
      <c r="L126" s="19"/>
      <c r="M126" s="20"/>
    </row>
    <row r="127" s="17" customFormat="1" ht="21" customHeight="1" spans="1:13">
      <c r="A127" s="116">
        <f t="shared" si="3"/>
        <v>126</v>
      </c>
      <c r="B127" s="119">
        <v>1826780</v>
      </c>
      <c r="C127" s="118" t="s">
        <v>13</v>
      </c>
      <c r="D127" s="19" t="s">
        <v>18</v>
      </c>
      <c r="E127" s="118" t="s">
        <v>177</v>
      </c>
      <c r="F127" s="19" t="s">
        <v>16</v>
      </c>
      <c r="G127" s="118" t="s">
        <v>162</v>
      </c>
      <c r="H127" s="19"/>
      <c r="I127" s="118" t="s">
        <v>20</v>
      </c>
      <c r="J127" s="58">
        <v>37941</v>
      </c>
      <c r="K127" s="116">
        <f t="shared" si="4"/>
        <v>126</v>
      </c>
      <c r="L127" s="19"/>
      <c r="M127" s="20"/>
    </row>
    <row r="128" s="17" customFormat="1" ht="21" customHeight="1" spans="1:13">
      <c r="A128" s="116">
        <f t="shared" si="3"/>
        <v>127</v>
      </c>
      <c r="B128" s="119">
        <v>1826400</v>
      </c>
      <c r="C128" s="118" t="s">
        <v>13</v>
      </c>
      <c r="D128" s="19" t="s">
        <v>29</v>
      </c>
      <c r="E128" s="118" t="s">
        <v>136</v>
      </c>
      <c r="F128" s="19" t="s">
        <v>65</v>
      </c>
      <c r="G128" s="118" t="s">
        <v>58</v>
      </c>
      <c r="H128" s="19"/>
      <c r="I128" s="118" t="s">
        <v>17</v>
      </c>
      <c r="J128" s="58">
        <v>37941</v>
      </c>
      <c r="K128" s="116">
        <f t="shared" si="4"/>
        <v>127</v>
      </c>
      <c r="L128" s="19"/>
      <c r="M128" s="20"/>
    </row>
    <row r="129" s="17" customFormat="1" ht="21" customHeight="1" spans="1:13">
      <c r="A129" s="116">
        <f t="shared" si="3"/>
        <v>128</v>
      </c>
      <c r="B129" s="119">
        <v>1826260</v>
      </c>
      <c r="C129" s="118" t="s">
        <v>13</v>
      </c>
      <c r="D129" s="19" t="s">
        <v>29</v>
      </c>
      <c r="E129" s="118" t="s">
        <v>137</v>
      </c>
      <c r="F129" s="19" t="s">
        <v>65</v>
      </c>
      <c r="G129" s="118" t="s">
        <v>58</v>
      </c>
      <c r="H129" s="19"/>
      <c r="I129" s="118" t="s">
        <v>17</v>
      </c>
      <c r="J129" s="58">
        <v>37941</v>
      </c>
      <c r="K129" s="116">
        <f t="shared" si="4"/>
        <v>128</v>
      </c>
      <c r="L129" s="19"/>
      <c r="M129" s="20"/>
    </row>
    <row r="130" s="17" customFormat="1" ht="21" customHeight="1" spans="1:13">
      <c r="A130" s="116">
        <f t="shared" si="3"/>
        <v>129</v>
      </c>
      <c r="B130" s="119">
        <v>1826150</v>
      </c>
      <c r="C130" s="118" t="s">
        <v>13</v>
      </c>
      <c r="D130" s="19" t="s">
        <v>59</v>
      </c>
      <c r="E130" s="118" t="s">
        <v>178</v>
      </c>
      <c r="F130" s="19" t="s">
        <v>16</v>
      </c>
      <c r="G130" s="118" t="s">
        <v>179</v>
      </c>
      <c r="H130" s="19"/>
      <c r="I130" s="118" t="s">
        <v>20</v>
      </c>
      <c r="J130" s="58">
        <v>37941</v>
      </c>
      <c r="K130" s="116">
        <f t="shared" si="4"/>
        <v>129</v>
      </c>
      <c r="L130" s="19"/>
      <c r="M130" s="20"/>
    </row>
    <row r="131" s="17" customFormat="1" ht="21" customHeight="1" spans="1:13">
      <c r="A131" s="116">
        <f t="shared" si="3"/>
        <v>130</v>
      </c>
      <c r="B131" s="119">
        <v>1825550</v>
      </c>
      <c r="C131" s="118" t="s">
        <v>13</v>
      </c>
      <c r="D131" s="19" t="s">
        <v>18</v>
      </c>
      <c r="E131" s="118" t="s">
        <v>180</v>
      </c>
      <c r="F131" s="19" t="s">
        <v>16</v>
      </c>
      <c r="G131" s="118" t="s">
        <v>181</v>
      </c>
      <c r="H131" s="19"/>
      <c r="I131" s="118" t="s">
        <v>17</v>
      </c>
      <c r="J131" s="58">
        <v>37941</v>
      </c>
      <c r="K131" s="116">
        <f t="shared" si="4"/>
        <v>130</v>
      </c>
      <c r="L131" s="19"/>
      <c r="M131" s="20"/>
    </row>
    <row r="132" s="17" customFormat="1" ht="21" customHeight="1" spans="1:13">
      <c r="A132" s="116">
        <f t="shared" ref="A132:A195" si="5">ROW(L132)-1</f>
        <v>131</v>
      </c>
      <c r="B132" s="119">
        <v>1824800</v>
      </c>
      <c r="C132" s="118" t="s">
        <v>13</v>
      </c>
      <c r="D132" s="19" t="s">
        <v>69</v>
      </c>
      <c r="E132" s="118" t="s">
        <v>182</v>
      </c>
      <c r="F132" s="19" t="s">
        <v>16</v>
      </c>
      <c r="G132" s="118" t="s">
        <v>71</v>
      </c>
      <c r="H132" s="19"/>
      <c r="I132" s="118" t="s">
        <v>36</v>
      </c>
      <c r="J132" s="58">
        <v>37941</v>
      </c>
      <c r="K132" s="116">
        <f t="shared" si="4"/>
        <v>131</v>
      </c>
      <c r="L132" s="19"/>
      <c r="M132" s="20"/>
    </row>
    <row r="133" s="17" customFormat="1" ht="21" customHeight="1" spans="1:13">
      <c r="A133" s="116">
        <f t="shared" si="5"/>
        <v>132</v>
      </c>
      <c r="B133" s="119">
        <v>1824650</v>
      </c>
      <c r="C133" s="118" t="s">
        <v>13</v>
      </c>
      <c r="D133" s="19" t="s">
        <v>18</v>
      </c>
      <c r="E133" s="118" t="s">
        <v>183</v>
      </c>
      <c r="F133" s="19" t="s">
        <v>16</v>
      </c>
      <c r="G133" s="118" t="s">
        <v>162</v>
      </c>
      <c r="H133" s="19"/>
      <c r="I133" s="118" t="s">
        <v>20</v>
      </c>
      <c r="J133" s="58">
        <v>37941</v>
      </c>
      <c r="K133" s="116">
        <f t="shared" si="4"/>
        <v>132</v>
      </c>
      <c r="L133" s="19"/>
      <c r="M133" s="20"/>
    </row>
    <row r="134" s="17" customFormat="1" ht="21" customHeight="1" spans="1:13">
      <c r="A134" s="116">
        <f t="shared" si="5"/>
        <v>133</v>
      </c>
      <c r="B134" s="119">
        <v>1824550</v>
      </c>
      <c r="C134" s="118" t="s">
        <v>13</v>
      </c>
      <c r="D134" s="19" t="s">
        <v>59</v>
      </c>
      <c r="E134" s="118" t="s">
        <v>184</v>
      </c>
      <c r="F134" s="19" t="s">
        <v>16</v>
      </c>
      <c r="G134" s="118" t="s">
        <v>179</v>
      </c>
      <c r="H134" s="19"/>
      <c r="I134" s="118" t="s">
        <v>20</v>
      </c>
      <c r="J134" s="58">
        <v>37941</v>
      </c>
      <c r="K134" s="116">
        <f t="shared" si="4"/>
        <v>133</v>
      </c>
      <c r="L134" s="19"/>
      <c r="M134" s="20"/>
    </row>
    <row r="135" s="17" customFormat="1" ht="21" customHeight="1" spans="1:13">
      <c r="A135" s="116">
        <f t="shared" si="5"/>
        <v>134</v>
      </c>
      <c r="B135" s="119">
        <v>1824200</v>
      </c>
      <c r="C135" s="118" t="s">
        <v>13</v>
      </c>
      <c r="D135" s="19" t="s">
        <v>18</v>
      </c>
      <c r="E135" s="118" t="s">
        <v>185</v>
      </c>
      <c r="F135" s="19" t="s">
        <v>16</v>
      </c>
      <c r="G135" s="118"/>
      <c r="H135" s="19"/>
      <c r="I135" s="118" t="s">
        <v>20</v>
      </c>
      <c r="J135" s="58">
        <v>37941</v>
      </c>
      <c r="K135" s="116">
        <f t="shared" si="4"/>
        <v>134</v>
      </c>
      <c r="L135" s="19"/>
      <c r="M135" s="20"/>
    </row>
    <row r="136" s="17" customFormat="1" ht="21" customHeight="1" spans="1:13">
      <c r="A136" s="116">
        <f t="shared" si="5"/>
        <v>135</v>
      </c>
      <c r="B136" s="119">
        <v>1824100</v>
      </c>
      <c r="C136" s="118" t="s">
        <v>13</v>
      </c>
      <c r="D136" s="19" t="s">
        <v>59</v>
      </c>
      <c r="E136" s="118" t="s">
        <v>186</v>
      </c>
      <c r="F136" s="19" t="s">
        <v>16</v>
      </c>
      <c r="G136" s="118" t="s">
        <v>187</v>
      </c>
      <c r="H136" s="19"/>
      <c r="I136" s="118" t="s">
        <v>36</v>
      </c>
      <c r="J136" s="58">
        <v>37941</v>
      </c>
      <c r="K136" s="116">
        <f t="shared" si="4"/>
        <v>135</v>
      </c>
      <c r="L136" s="19"/>
      <c r="M136" s="20"/>
    </row>
    <row r="137" s="17" customFormat="1" ht="21" customHeight="1" spans="1:13">
      <c r="A137" s="116">
        <f t="shared" si="5"/>
        <v>136</v>
      </c>
      <c r="B137" s="119">
        <v>1823700</v>
      </c>
      <c r="C137" s="118" t="s">
        <v>13</v>
      </c>
      <c r="D137" s="19" t="s">
        <v>29</v>
      </c>
      <c r="E137" s="118" t="s">
        <v>188</v>
      </c>
      <c r="F137" s="19" t="s">
        <v>31</v>
      </c>
      <c r="G137" s="118" t="s">
        <v>40</v>
      </c>
      <c r="H137" s="19"/>
      <c r="I137" s="118" t="s">
        <v>17</v>
      </c>
      <c r="J137" s="58">
        <v>37941</v>
      </c>
      <c r="K137" s="116">
        <f t="shared" si="4"/>
        <v>136</v>
      </c>
      <c r="L137" s="19"/>
      <c r="M137" s="20"/>
    </row>
    <row r="138" s="17" customFormat="1" ht="21" customHeight="1" spans="1:13">
      <c r="A138" s="116">
        <f t="shared" si="5"/>
        <v>137</v>
      </c>
      <c r="B138" s="119">
        <v>1822950</v>
      </c>
      <c r="C138" s="118" t="s">
        <v>13</v>
      </c>
      <c r="D138" s="19" t="s">
        <v>18</v>
      </c>
      <c r="E138" s="118" t="s">
        <v>189</v>
      </c>
      <c r="F138" s="19" t="s">
        <v>16</v>
      </c>
      <c r="G138" s="118"/>
      <c r="H138" s="19"/>
      <c r="I138" s="118" t="s">
        <v>20</v>
      </c>
      <c r="J138" s="58">
        <v>37941</v>
      </c>
      <c r="K138" s="116">
        <f t="shared" si="4"/>
        <v>137</v>
      </c>
      <c r="L138" s="19"/>
      <c r="M138" s="20"/>
    </row>
    <row r="139" s="17" customFormat="1" ht="21" customHeight="1" spans="1:13">
      <c r="A139" s="116">
        <f t="shared" si="5"/>
        <v>138</v>
      </c>
      <c r="B139" s="119">
        <v>1822500</v>
      </c>
      <c r="C139" s="118" t="s">
        <v>13</v>
      </c>
      <c r="D139" s="19" t="s">
        <v>18</v>
      </c>
      <c r="E139" s="118" t="s">
        <v>190</v>
      </c>
      <c r="F139" s="19" t="s">
        <v>16</v>
      </c>
      <c r="G139" s="118" t="s">
        <v>191</v>
      </c>
      <c r="H139" s="19"/>
      <c r="I139" s="118" t="s">
        <v>38</v>
      </c>
      <c r="J139" s="58">
        <v>37941</v>
      </c>
      <c r="K139" s="116">
        <f t="shared" si="4"/>
        <v>138</v>
      </c>
      <c r="L139" s="19"/>
      <c r="M139" s="20"/>
    </row>
    <row r="140" s="17" customFormat="1" ht="21" customHeight="1" spans="1:13">
      <c r="A140" s="116">
        <f t="shared" si="5"/>
        <v>139</v>
      </c>
      <c r="B140" s="119">
        <v>1822300</v>
      </c>
      <c r="C140" s="118" t="s">
        <v>13</v>
      </c>
      <c r="D140" s="19" t="s">
        <v>18</v>
      </c>
      <c r="E140" s="118" t="s">
        <v>192</v>
      </c>
      <c r="F140" s="19" t="s">
        <v>16</v>
      </c>
      <c r="G140" s="118" t="s">
        <v>187</v>
      </c>
      <c r="H140" s="19"/>
      <c r="I140" s="118" t="s">
        <v>36</v>
      </c>
      <c r="J140" s="58">
        <v>37941</v>
      </c>
      <c r="K140" s="116">
        <f t="shared" si="4"/>
        <v>139</v>
      </c>
      <c r="L140" s="19"/>
      <c r="M140" s="20"/>
    </row>
    <row r="141" s="17" customFormat="1" ht="21" customHeight="1" spans="1:13">
      <c r="A141" s="116">
        <f t="shared" si="5"/>
        <v>140</v>
      </c>
      <c r="B141" s="119">
        <v>1822100</v>
      </c>
      <c r="C141" s="118" t="s">
        <v>13</v>
      </c>
      <c r="D141" s="19" t="s">
        <v>18</v>
      </c>
      <c r="E141" s="118" t="s">
        <v>193</v>
      </c>
      <c r="F141" s="19" t="s">
        <v>16</v>
      </c>
      <c r="G141" s="118"/>
      <c r="H141" s="19"/>
      <c r="I141" s="118" t="s">
        <v>20</v>
      </c>
      <c r="J141" s="58">
        <v>37941</v>
      </c>
      <c r="K141" s="116">
        <f t="shared" si="4"/>
        <v>140</v>
      </c>
      <c r="L141" s="19"/>
      <c r="M141" s="20"/>
    </row>
    <row r="142" s="17" customFormat="1" ht="21" customHeight="1" spans="1:13">
      <c r="A142" s="116">
        <f t="shared" si="5"/>
        <v>141</v>
      </c>
      <c r="B142" s="119">
        <v>1822000</v>
      </c>
      <c r="C142" s="118" t="s">
        <v>13</v>
      </c>
      <c r="D142" s="19" t="s">
        <v>59</v>
      </c>
      <c r="E142" s="118" t="s">
        <v>178</v>
      </c>
      <c r="F142" s="19" t="s">
        <v>16</v>
      </c>
      <c r="G142" s="118" t="s">
        <v>179</v>
      </c>
      <c r="H142" s="19"/>
      <c r="I142" s="118" t="s">
        <v>194</v>
      </c>
      <c r="J142" s="58">
        <v>37941</v>
      </c>
      <c r="K142" s="116">
        <f t="shared" si="4"/>
        <v>141</v>
      </c>
      <c r="L142" s="19"/>
      <c r="M142" s="20"/>
    </row>
    <row r="143" s="17" customFormat="1" ht="21" customHeight="1" spans="1:13">
      <c r="A143" s="116">
        <f t="shared" si="5"/>
        <v>142</v>
      </c>
      <c r="B143" s="119">
        <v>1821900</v>
      </c>
      <c r="C143" s="118" t="s">
        <v>13</v>
      </c>
      <c r="D143" s="19" t="s">
        <v>14</v>
      </c>
      <c r="E143" s="118" t="s">
        <v>195</v>
      </c>
      <c r="F143" s="19" t="s">
        <v>16</v>
      </c>
      <c r="G143" s="118" t="s">
        <v>196</v>
      </c>
      <c r="H143" s="19"/>
      <c r="I143" s="118" t="s">
        <v>81</v>
      </c>
      <c r="J143" s="58">
        <v>37941</v>
      </c>
      <c r="K143" s="116">
        <f t="shared" si="4"/>
        <v>142</v>
      </c>
      <c r="L143" s="19"/>
      <c r="M143" s="20"/>
    </row>
    <row r="144" s="17" customFormat="1" ht="21" customHeight="1" spans="1:13">
      <c r="A144" s="116">
        <f t="shared" si="5"/>
        <v>143</v>
      </c>
      <c r="B144" s="119">
        <v>1821750</v>
      </c>
      <c r="C144" s="118" t="s">
        <v>13</v>
      </c>
      <c r="D144" s="19" t="s">
        <v>18</v>
      </c>
      <c r="E144" s="118" t="s">
        <v>197</v>
      </c>
      <c r="F144" s="19" t="s">
        <v>16</v>
      </c>
      <c r="G144" s="118"/>
      <c r="H144" s="19"/>
      <c r="I144" s="118" t="s">
        <v>20</v>
      </c>
      <c r="J144" s="58">
        <v>37941</v>
      </c>
      <c r="K144" s="116">
        <f t="shared" si="4"/>
        <v>143</v>
      </c>
      <c r="L144" s="19"/>
      <c r="M144" s="20"/>
    </row>
    <row r="145" s="17" customFormat="1" ht="21" customHeight="1" spans="1:13">
      <c r="A145" s="116">
        <f t="shared" si="5"/>
        <v>144</v>
      </c>
      <c r="B145" s="119">
        <v>1821700</v>
      </c>
      <c r="C145" s="118" t="s">
        <v>13</v>
      </c>
      <c r="D145" s="19" t="s">
        <v>14</v>
      </c>
      <c r="E145" s="118" t="s">
        <v>198</v>
      </c>
      <c r="F145" s="19" t="s">
        <v>16</v>
      </c>
      <c r="G145" s="118"/>
      <c r="H145" s="19"/>
      <c r="I145" s="118" t="s">
        <v>17</v>
      </c>
      <c r="J145" s="58">
        <v>37941</v>
      </c>
      <c r="K145" s="116">
        <f t="shared" si="4"/>
        <v>144</v>
      </c>
      <c r="L145" s="19"/>
      <c r="M145" s="20"/>
    </row>
    <row r="146" s="17" customFormat="1" ht="21" customHeight="1" spans="1:13">
      <c r="A146" s="116">
        <f t="shared" si="5"/>
        <v>145</v>
      </c>
      <c r="B146" s="119">
        <v>1821500</v>
      </c>
      <c r="C146" s="118" t="s">
        <v>13</v>
      </c>
      <c r="D146" s="19" t="s">
        <v>14</v>
      </c>
      <c r="E146" s="118" t="s">
        <v>199</v>
      </c>
      <c r="F146" s="19" t="s">
        <v>16</v>
      </c>
      <c r="G146" s="118" t="s">
        <v>99</v>
      </c>
      <c r="H146" s="19"/>
      <c r="I146" s="118" t="s">
        <v>36</v>
      </c>
      <c r="J146" s="58">
        <v>37941</v>
      </c>
      <c r="K146" s="116">
        <f t="shared" si="4"/>
        <v>145</v>
      </c>
      <c r="L146" s="19"/>
      <c r="M146" s="20"/>
    </row>
    <row r="147" s="17" customFormat="1" ht="21" customHeight="1" spans="1:13">
      <c r="A147" s="116">
        <f t="shared" si="5"/>
        <v>146</v>
      </c>
      <c r="B147" s="119">
        <v>1821050</v>
      </c>
      <c r="C147" s="118" t="s">
        <v>13</v>
      </c>
      <c r="D147" s="19" t="s">
        <v>59</v>
      </c>
      <c r="E147" s="118" t="s">
        <v>186</v>
      </c>
      <c r="F147" s="19" t="s">
        <v>16</v>
      </c>
      <c r="G147" s="118" t="s">
        <v>200</v>
      </c>
      <c r="H147" s="19"/>
      <c r="I147" s="118" t="s">
        <v>36</v>
      </c>
      <c r="J147" s="58">
        <v>37941</v>
      </c>
      <c r="K147" s="116">
        <f t="shared" si="4"/>
        <v>146</v>
      </c>
      <c r="L147" s="19"/>
      <c r="M147" s="20"/>
    </row>
    <row r="148" s="17" customFormat="1" ht="21" customHeight="1" spans="1:13">
      <c r="A148" s="116">
        <f t="shared" si="5"/>
        <v>147</v>
      </c>
      <c r="B148" s="119">
        <v>1821000</v>
      </c>
      <c r="C148" s="118" t="s">
        <v>13</v>
      </c>
      <c r="D148" s="19" t="s">
        <v>14</v>
      </c>
      <c r="E148" s="118" t="s">
        <v>201</v>
      </c>
      <c r="F148" s="19" t="s">
        <v>16</v>
      </c>
      <c r="G148" s="118" t="s">
        <v>196</v>
      </c>
      <c r="H148" s="19"/>
      <c r="I148" s="118" t="s">
        <v>36</v>
      </c>
      <c r="J148" s="58">
        <v>37941</v>
      </c>
      <c r="K148" s="116">
        <f t="shared" si="4"/>
        <v>147</v>
      </c>
      <c r="L148" s="19"/>
      <c r="M148" s="20"/>
    </row>
    <row r="149" s="17" customFormat="1" ht="21" customHeight="1" spans="1:13">
      <c r="A149" s="116">
        <f t="shared" si="5"/>
        <v>148</v>
      </c>
      <c r="B149" s="119">
        <v>1820950</v>
      </c>
      <c r="C149" s="118" t="s">
        <v>13</v>
      </c>
      <c r="D149" s="19" t="s">
        <v>18</v>
      </c>
      <c r="E149" s="118" t="s">
        <v>180</v>
      </c>
      <c r="F149" s="19" t="s">
        <v>16</v>
      </c>
      <c r="G149" s="118" t="s">
        <v>181</v>
      </c>
      <c r="H149" s="19"/>
      <c r="I149" s="118" t="s">
        <v>17</v>
      </c>
      <c r="J149" s="58">
        <v>37941</v>
      </c>
      <c r="K149" s="116">
        <f t="shared" si="4"/>
        <v>148</v>
      </c>
      <c r="L149" s="19"/>
      <c r="M149" s="20"/>
    </row>
    <row r="150" s="17" customFormat="1" ht="21" customHeight="1" spans="1:13">
      <c r="A150" s="116">
        <f t="shared" si="5"/>
        <v>149</v>
      </c>
      <c r="B150" s="119">
        <v>1820550</v>
      </c>
      <c r="C150" s="118" t="s">
        <v>13</v>
      </c>
      <c r="D150" s="19" t="s">
        <v>69</v>
      </c>
      <c r="E150" s="118" t="s">
        <v>202</v>
      </c>
      <c r="F150" s="19" t="s">
        <v>16</v>
      </c>
      <c r="G150" s="118" t="s">
        <v>203</v>
      </c>
      <c r="H150" s="19"/>
      <c r="I150" s="118" t="s">
        <v>36</v>
      </c>
      <c r="J150" s="58">
        <v>37941</v>
      </c>
      <c r="K150" s="116">
        <f t="shared" si="4"/>
        <v>149</v>
      </c>
      <c r="L150" s="19"/>
      <c r="M150" s="20"/>
    </row>
    <row r="151" s="17" customFormat="1" ht="21" customHeight="1" spans="1:13">
      <c r="A151" s="116">
        <f t="shared" si="5"/>
        <v>150</v>
      </c>
      <c r="B151" s="119">
        <v>1820450</v>
      </c>
      <c r="C151" s="118" t="s">
        <v>13</v>
      </c>
      <c r="D151" s="19" t="s">
        <v>18</v>
      </c>
      <c r="E151" s="118" t="s">
        <v>88</v>
      </c>
      <c r="F151" s="19" t="s">
        <v>16</v>
      </c>
      <c r="G151" s="118" t="s">
        <v>151</v>
      </c>
      <c r="H151" s="19"/>
      <c r="I151" s="118" t="s">
        <v>17</v>
      </c>
      <c r="J151" s="58">
        <v>37941</v>
      </c>
      <c r="K151" s="116">
        <f t="shared" si="4"/>
        <v>150</v>
      </c>
      <c r="L151" s="19"/>
      <c r="M151" s="20"/>
    </row>
    <row r="152" s="17" customFormat="1" ht="21" customHeight="1" spans="1:13">
      <c r="A152" s="116">
        <f t="shared" si="5"/>
        <v>151</v>
      </c>
      <c r="B152" s="119">
        <v>1820350</v>
      </c>
      <c r="C152" s="118" t="s">
        <v>13</v>
      </c>
      <c r="D152" s="19" t="s">
        <v>14</v>
      </c>
      <c r="E152" s="118" t="s">
        <v>204</v>
      </c>
      <c r="F152" s="19" t="s">
        <v>16</v>
      </c>
      <c r="G152" s="118" t="s">
        <v>99</v>
      </c>
      <c r="H152" s="19"/>
      <c r="I152" s="118" t="s">
        <v>36</v>
      </c>
      <c r="J152" s="58">
        <v>37941</v>
      </c>
      <c r="K152" s="116">
        <f t="shared" si="4"/>
        <v>151</v>
      </c>
      <c r="L152" s="19"/>
      <c r="M152" s="20"/>
    </row>
    <row r="153" s="17" customFormat="1" ht="21" customHeight="1" spans="1:13">
      <c r="A153" s="116">
        <f t="shared" si="5"/>
        <v>152</v>
      </c>
      <c r="B153" s="119">
        <v>1820100</v>
      </c>
      <c r="C153" s="118" t="s">
        <v>13</v>
      </c>
      <c r="D153" s="19" t="s">
        <v>29</v>
      </c>
      <c r="E153" s="118" t="s">
        <v>205</v>
      </c>
      <c r="F153" s="19" t="s">
        <v>65</v>
      </c>
      <c r="G153" s="118" t="s">
        <v>148</v>
      </c>
      <c r="H153" s="19"/>
      <c r="I153" s="118" t="s">
        <v>17</v>
      </c>
      <c r="J153" s="58">
        <v>37941</v>
      </c>
      <c r="K153" s="116">
        <f t="shared" si="4"/>
        <v>152</v>
      </c>
      <c r="L153" s="19"/>
      <c r="M153" s="20"/>
    </row>
    <row r="154" s="17" customFormat="1" ht="21" customHeight="1" spans="1:13">
      <c r="A154" s="116">
        <f t="shared" si="5"/>
        <v>153</v>
      </c>
      <c r="B154" s="119">
        <v>1819850</v>
      </c>
      <c r="C154" s="118" t="s">
        <v>13</v>
      </c>
      <c r="D154" s="19" t="s">
        <v>29</v>
      </c>
      <c r="E154" s="118" t="s">
        <v>206</v>
      </c>
      <c r="F154" s="19" t="s">
        <v>31</v>
      </c>
      <c r="G154" s="118" t="s">
        <v>40</v>
      </c>
      <c r="H154" s="19"/>
      <c r="I154" s="118" t="s">
        <v>17</v>
      </c>
      <c r="J154" s="58">
        <v>37941</v>
      </c>
      <c r="K154" s="116">
        <f t="shared" si="4"/>
        <v>153</v>
      </c>
      <c r="L154" s="19"/>
      <c r="M154" s="20"/>
    </row>
    <row r="155" s="17" customFormat="1" ht="21" customHeight="1" spans="1:13">
      <c r="A155" s="116">
        <f t="shared" si="5"/>
        <v>154</v>
      </c>
      <c r="B155" s="119">
        <v>1819800</v>
      </c>
      <c r="C155" s="118" t="s">
        <v>13</v>
      </c>
      <c r="D155" s="19" t="s">
        <v>14</v>
      </c>
      <c r="E155" s="118" t="s">
        <v>207</v>
      </c>
      <c r="F155" s="19" t="s">
        <v>16</v>
      </c>
      <c r="G155" s="118" t="s">
        <v>99</v>
      </c>
      <c r="H155" s="19"/>
      <c r="I155" s="118" t="s">
        <v>36</v>
      </c>
      <c r="J155" s="58">
        <v>37941</v>
      </c>
      <c r="K155" s="116">
        <f t="shared" si="4"/>
        <v>154</v>
      </c>
      <c r="L155" s="19"/>
      <c r="M155" s="20"/>
    </row>
    <row r="156" s="17" customFormat="1" ht="21" customHeight="1" spans="1:13">
      <c r="A156" s="116">
        <f t="shared" si="5"/>
        <v>155</v>
      </c>
      <c r="B156" s="119">
        <v>1819550</v>
      </c>
      <c r="C156" s="118" t="s">
        <v>13</v>
      </c>
      <c r="D156" s="19" t="s">
        <v>27</v>
      </c>
      <c r="E156" s="118" t="s">
        <v>208</v>
      </c>
      <c r="F156" s="19" t="s">
        <v>16</v>
      </c>
      <c r="G156" s="118"/>
      <c r="H156" s="19"/>
      <c r="I156" s="118" t="s">
        <v>20</v>
      </c>
      <c r="J156" s="58">
        <v>37941</v>
      </c>
      <c r="K156" s="116">
        <f t="shared" si="4"/>
        <v>155</v>
      </c>
      <c r="L156" s="19"/>
      <c r="M156" s="20"/>
    </row>
    <row r="157" s="17" customFormat="1" ht="21" customHeight="1" spans="1:13">
      <c r="A157" s="116">
        <f t="shared" si="5"/>
        <v>156</v>
      </c>
      <c r="B157" s="119">
        <v>1819100</v>
      </c>
      <c r="C157" s="118" t="s">
        <v>13</v>
      </c>
      <c r="D157" s="19" t="s">
        <v>14</v>
      </c>
      <c r="E157" s="118" t="s">
        <v>209</v>
      </c>
      <c r="F157" s="19" t="s">
        <v>16</v>
      </c>
      <c r="G157" s="118" t="s">
        <v>99</v>
      </c>
      <c r="H157" s="19"/>
      <c r="I157" s="118" t="s">
        <v>17</v>
      </c>
      <c r="J157" s="58">
        <v>37941</v>
      </c>
      <c r="K157" s="116">
        <f t="shared" si="4"/>
        <v>156</v>
      </c>
      <c r="L157" s="19"/>
      <c r="M157" s="20"/>
    </row>
    <row r="158" s="17" customFormat="1" ht="21" customHeight="1" spans="1:13">
      <c r="A158" s="116">
        <f t="shared" si="5"/>
        <v>157</v>
      </c>
      <c r="B158" s="119">
        <v>1818990</v>
      </c>
      <c r="C158" s="118" t="s">
        <v>13</v>
      </c>
      <c r="D158" s="19" t="s">
        <v>29</v>
      </c>
      <c r="E158" s="118" t="s">
        <v>210</v>
      </c>
      <c r="F158" s="19" t="s">
        <v>65</v>
      </c>
      <c r="G158" s="118" t="s">
        <v>148</v>
      </c>
      <c r="H158" s="19"/>
      <c r="I158" s="118" t="s">
        <v>17</v>
      </c>
      <c r="J158" s="58">
        <v>37941</v>
      </c>
      <c r="K158" s="116">
        <f t="shared" si="4"/>
        <v>157</v>
      </c>
      <c r="L158" s="19"/>
      <c r="M158" s="20"/>
    </row>
    <row r="159" s="17" customFormat="1" ht="21" customHeight="1" spans="1:13">
      <c r="A159" s="116">
        <f t="shared" si="5"/>
        <v>158</v>
      </c>
      <c r="B159" s="119" t="s">
        <v>211</v>
      </c>
      <c r="C159" s="118" t="s">
        <v>13</v>
      </c>
      <c r="D159" s="19" t="s">
        <v>27</v>
      </c>
      <c r="E159" s="118" t="s">
        <v>212</v>
      </c>
      <c r="F159" s="19" t="s">
        <v>16</v>
      </c>
      <c r="G159" s="118"/>
      <c r="H159" s="19"/>
      <c r="I159" s="118" t="s">
        <v>20</v>
      </c>
      <c r="J159" s="58">
        <v>37941</v>
      </c>
      <c r="K159" s="116">
        <f t="shared" si="4"/>
        <v>158</v>
      </c>
      <c r="L159" s="19"/>
      <c r="M159" s="20"/>
    </row>
    <row r="160" s="17" customFormat="1" ht="21" customHeight="1" spans="1:13">
      <c r="A160" s="116">
        <f t="shared" si="5"/>
        <v>159</v>
      </c>
      <c r="B160" s="119">
        <v>1818850</v>
      </c>
      <c r="C160" s="118" t="s">
        <v>13</v>
      </c>
      <c r="D160" s="19" t="s">
        <v>29</v>
      </c>
      <c r="E160" s="118" t="s">
        <v>213</v>
      </c>
      <c r="F160" s="19" t="s">
        <v>65</v>
      </c>
      <c r="G160" s="118" t="s">
        <v>148</v>
      </c>
      <c r="H160" s="19"/>
      <c r="I160" s="118" t="s">
        <v>17</v>
      </c>
      <c r="J160" s="58">
        <v>37941</v>
      </c>
      <c r="K160" s="116">
        <f t="shared" si="4"/>
        <v>159</v>
      </c>
      <c r="L160" s="19"/>
      <c r="M160" s="20"/>
    </row>
    <row r="161" s="17" customFormat="1" ht="21" customHeight="1" spans="1:13">
      <c r="A161" s="116">
        <f t="shared" si="5"/>
        <v>160</v>
      </c>
      <c r="B161" s="119">
        <v>1818650</v>
      </c>
      <c r="C161" s="118" t="s">
        <v>13</v>
      </c>
      <c r="D161" s="19" t="s">
        <v>27</v>
      </c>
      <c r="E161" s="118" t="s">
        <v>214</v>
      </c>
      <c r="F161" s="19" t="s">
        <v>16</v>
      </c>
      <c r="G161" s="118"/>
      <c r="H161" s="19"/>
      <c r="I161" s="118" t="s">
        <v>20</v>
      </c>
      <c r="J161" s="58">
        <v>37941</v>
      </c>
      <c r="K161" s="116">
        <f t="shared" si="4"/>
        <v>160</v>
      </c>
      <c r="L161" s="19"/>
      <c r="M161" s="20"/>
    </row>
    <row r="162" s="17" customFormat="1" ht="21" customHeight="1" spans="1:13">
      <c r="A162" s="116">
        <f t="shared" si="5"/>
        <v>161</v>
      </c>
      <c r="B162" s="119">
        <v>1818630</v>
      </c>
      <c r="C162" s="118" t="s">
        <v>13</v>
      </c>
      <c r="D162" s="19" t="s">
        <v>14</v>
      </c>
      <c r="E162" s="118" t="s">
        <v>120</v>
      </c>
      <c r="F162" s="19" t="s">
        <v>16</v>
      </c>
      <c r="G162" s="118"/>
      <c r="H162" s="19"/>
      <c r="I162" s="118" t="s">
        <v>36</v>
      </c>
      <c r="J162" s="58">
        <v>37941</v>
      </c>
      <c r="K162" s="116">
        <f t="shared" si="4"/>
        <v>161</v>
      </c>
      <c r="L162" s="19"/>
      <c r="M162" s="20"/>
    </row>
    <row r="163" s="17" customFormat="1" ht="21" customHeight="1" spans="1:13">
      <c r="A163" s="116">
        <f t="shared" si="5"/>
        <v>162</v>
      </c>
      <c r="B163" s="119">
        <v>1818600</v>
      </c>
      <c r="C163" s="118" t="s">
        <v>13</v>
      </c>
      <c r="D163" s="19" t="s">
        <v>59</v>
      </c>
      <c r="E163" s="118" t="s">
        <v>215</v>
      </c>
      <c r="F163" s="19" t="s">
        <v>216</v>
      </c>
      <c r="G163" s="118" t="s">
        <v>217</v>
      </c>
      <c r="H163" s="19"/>
      <c r="I163" s="118" t="s">
        <v>17</v>
      </c>
      <c r="J163" s="58">
        <v>37941</v>
      </c>
      <c r="K163" s="116">
        <f t="shared" si="4"/>
        <v>162</v>
      </c>
      <c r="L163" s="19"/>
      <c r="M163" s="20"/>
    </row>
    <row r="164" s="17" customFormat="1" ht="21" customHeight="1" spans="1:13">
      <c r="A164" s="116">
        <f t="shared" si="5"/>
        <v>163</v>
      </c>
      <c r="B164" s="119">
        <v>1818450</v>
      </c>
      <c r="C164" s="118" t="s">
        <v>13</v>
      </c>
      <c r="D164" s="19" t="s">
        <v>29</v>
      </c>
      <c r="E164" s="118" t="s">
        <v>57</v>
      </c>
      <c r="F164" s="19" t="s">
        <v>65</v>
      </c>
      <c r="G164" s="118" t="s">
        <v>148</v>
      </c>
      <c r="H164" s="19"/>
      <c r="I164" s="118" t="s">
        <v>17</v>
      </c>
      <c r="J164" s="58">
        <v>37941</v>
      </c>
      <c r="K164" s="116">
        <f t="shared" si="4"/>
        <v>163</v>
      </c>
      <c r="L164" s="19"/>
      <c r="M164" s="20"/>
    </row>
    <row r="165" s="17" customFormat="1" ht="21" customHeight="1" spans="1:13">
      <c r="A165" s="116">
        <f t="shared" si="5"/>
        <v>164</v>
      </c>
      <c r="B165" s="119">
        <v>1818400</v>
      </c>
      <c r="C165" s="118" t="s">
        <v>13</v>
      </c>
      <c r="D165" s="19" t="s">
        <v>14</v>
      </c>
      <c r="E165" s="118" t="s">
        <v>218</v>
      </c>
      <c r="F165" s="19" t="s">
        <v>16</v>
      </c>
      <c r="G165" s="118" t="s">
        <v>219</v>
      </c>
      <c r="H165" s="19"/>
      <c r="I165" s="118" t="s">
        <v>36</v>
      </c>
      <c r="J165" s="58">
        <v>37941</v>
      </c>
      <c r="K165" s="116">
        <f t="shared" si="4"/>
        <v>164</v>
      </c>
      <c r="L165" s="19"/>
      <c r="M165" s="20"/>
    </row>
    <row r="166" s="17" customFormat="1" ht="21" customHeight="1" spans="1:13">
      <c r="A166" s="116">
        <f t="shared" si="5"/>
        <v>165</v>
      </c>
      <c r="B166" s="119">
        <v>1818350</v>
      </c>
      <c r="C166" s="118" t="s">
        <v>13</v>
      </c>
      <c r="D166" s="19" t="s">
        <v>18</v>
      </c>
      <c r="E166" s="118" t="s">
        <v>163</v>
      </c>
      <c r="F166" s="19" t="s">
        <v>16</v>
      </c>
      <c r="G166" s="118" t="s">
        <v>125</v>
      </c>
      <c r="H166" s="19"/>
      <c r="I166" s="118" t="s">
        <v>20</v>
      </c>
      <c r="J166" s="58">
        <v>37941</v>
      </c>
      <c r="K166" s="116">
        <f t="shared" si="4"/>
        <v>165</v>
      </c>
      <c r="L166" s="19"/>
      <c r="M166" s="20"/>
    </row>
    <row r="167" s="17" customFormat="1" ht="21" customHeight="1" spans="1:13">
      <c r="A167" s="116">
        <f t="shared" si="5"/>
        <v>166</v>
      </c>
      <c r="B167" s="119">
        <v>1818320</v>
      </c>
      <c r="C167" s="118" t="s">
        <v>13</v>
      </c>
      <c r="D167" s="19" t="s">
        <v>29</v>
      </c>
      <c r="E167" s="118" t="s">
        <v>64</v>
      </c>
      <c r="F167" s="19" t="s">
        <v>65</v>
      </c>
      <c r="G167" s="118" t="s">
        <v>148</v>
      </c>
      <c r="H167" s="19"/>
      <c r="I167" s="118" t="s">
        <v>17</v>
      </c>
      <c r="J167" s="58">
        <v>37941</v>
      </c>
      <c r="K167" s="116">
        <f t="shared" si="4"/>
        <v>166</v>
      </c>
      <c r="L167" s="19"/>
      <c r="M167" s="20"/>
    </row>
    <row r="168" s="17" customFormat="1" ht="21" customHeight="1" spans="1:13">
      <c r="A168" s="116">
        <f t="shared" si="5"/>
        <v>167</v>
      </c>
      <c r="B168" s="119">
        <v>1818200</v>
      </c>
      <c r="C168" s="118" t="s">
        <v>13</v>
      </c>
      <c r="D168" s="19" t="s">
        <v>29</v>
      </c>
      <c r="E168" s="118" t="s">
        <v>164</v>
      </c>
      <c r="F168" s="19" t="s">
        <v>65</v>
      </c>
      <c r="G168" s="118" t="s">
        <v>148</v>
      </c>
      <c r="H168" s="19"/>
      <c r="I168" s="118" t="s">
        <v>17</v>
      </c>
      <c r="J168" s="58">
        <v>37941</v>
      </c>
      <c r="K168" s="116">
        <f t="shared" si="4"/>
        <v>167</v>
      </c>
      <c r="L168" s="19"/>
      <c r="M168" s="20"/>
    </row>
    <row r="169" s="17" customFormat="1" ht="26.25" customHeight="1" spans="1:13">
      <c r="A169" s="116">
        <f t="shared" si="5"/>
        <v>168</v>
      </c>
      <c r="B169" s="119">
        <v>1818000</v>
      </c>
      <c r="C169" s="118" t="s">
        <v>13</v>
      </c>
      <c r="D169" s="19" t="s">
        <v>220</v>
      </c>
      <c r="E169" s="118" t="s">
        <v>221</v>
      </c>
      <c r="F169" s="19" t="s">
        <v>222</v>
      </c>
      <c r="G169" s="118" t="s">
        <v>148</v>
      </c>
      <c r="H169" s="19"/>
      <c r="I169" s="118" t="s">
        <v>17</v>
      </c>
      <c r="J169" s="58">
        <v>37941</v>
      </c>
      <c r="K169" s="116">
        <f t="shared" si="4"/>
        <v>168</v>
      </c>
      <c r="L169" s="19"/>
      <c r="M169" s="20"/>
    </row>
    <row r="170" s="17" customFormat="1" ht="21" customHeight="1" spans="1:13">
      <c r="A170" s="116">
        <f t="shared" si="5"/>
        <v>169</v>
      </c>
      <c r="B170" s="119">
        <v>1817950</v>
      </c>
      <c r="C170" s="118" t="s">
        <v>13</v>
      </c>
      <c r="D170" s="19" t="s">
        <v>14</v>
      </c>
      <c r="E170" s="118" t="s">
        <v>223</v>
      </c>
      <c r="F170" s="19" t="s">
        <v>16</v>
      </c>
      <c r="G170" s="118" t="s">
        <v>101</v>
      </c>
      <c r="H170" s="19"/>
      <c r="I170" s="118" t="s">
        <v>36</v>
      </c>
      <c r="J170" s="58">
        <v>37941</v>
      </c>
      <c r="K170" s="116">
        <f t="shared" si="4"/>
        <v>169</v>
      </c>
      <c r="L170" s="19"/>
      <c r="M170" s="20"/>
    </row>
    <row r="171" s="17" customFormat="1" ht="21" customHeight="1" spans="1:13">
      <c r="A171" s="116">
        <f t="shared" si="5"/>
        <v>170</v>
      </c>
      <c r="B171" s="119">
        <v>1818650</v>
      </c>
      <c r="C171" s="118" t="s">
        <v>13</v>
      </c>
      <c r="D171" s="19" t="s">
        <v>18</v>
      </c>
      <c r="E171" s="118" t="s">
        <v>88</v>
      </c>
      <c r="F171" s="19" t="s">
        <v>16</v>
      </c>
      <c r="G171" s="118" t="s">
        <v>151</v>
      </c>
      <c r="H171" s="19"/>
      <c r="I171" s="118" t="s">
        <v>17</v>
      </c>
      <c r="J171" s="58">
        <v>37941</v>
      </c>
      <c r="K171" s="116">
        <f t="shared" si="4"/>
        <v>170</v>
      </c>
      <c r="L171" s="19"/>
      <c r="M171" s="20"/>
    </row>
    <row r="172" s="17" customFormat="1" ht="21" customHeight="1" spans="1:13">
      <c r="A172" s="116">
        <f t="shared" si="5"/>
        <v>171</v>
      </c>
      <c r="B172" s="119">
        <v>1816990</v>
      </c>
      <c r="C172" s="118" t="s">
        <v>13</v>
      </c>
      <c r="D172" s="19" t="s">
        <v>59</v>
      </c>
      <c r="E172" s="118" t="s">
        <v>224</v>
      </c>
      <c r="F172" s="19" t="s">
        <v>16</v>
      </c>
      <c r="G172" s="118"/>
      <c r="H172" s="19"/>
      <c r="I172" s="118" t="s">
        <v>36</v>
      </c>
      <c r="J172" s="58">
        <v>37941</v>
      </c>
      <c r="K172" s="116">
        <f t="shared" si="4"/>
        <v>171</v>
      </c>
      <c r="L172" s="19"/>
      <c r="M172" s="20"/>
    </row>
    <row r="173" s="17" customFormat="1" ht="21" customHeight="1" spans="1:13">
      <c r="A173" s="116">
        <f t="shared" si="5"/>
        <v>172</v>
      </c>
      <c r="B173" s="119">
        <v>1816890</v>
      </c>
      <c r="C173" s="118" t="s">
        <v>13</v>
      </c>
      <c r="D173" s="19" t="s">
        <v>14</v>
      </c>
      <c r="E173" s="118" t="s">
        <v>225</v>
      </c>
      <c r="F173" s="19" t="s">
        <v>16</v>
      </c>
      <c r="G173" s="118" t="s">
        <v>128</v>
      </c>
      <c r="H173" s="19"/>
      <c r="I173" s="118" t="s">
        <v>36</v>
      </c>
      <c r="J173" s="58">
        <v>37941</v>
      </c>
      <c r="K173" s="116">
        <f t="shared" si="4"/>
        <v>172</v>
      </c>
      <c r="L173" s="19"/>
      <c r="M173" s="20"/>
    </row>
    <row r="174" s="17" customFormat="1" ht="21" customHeight="1" spans="1:13">
      <c r="A174" s="116">
        <f t="shared" si="5"/>
        <v>173</v>
      </c>
      <c r="B174" s="119">
        <v>1816890</v>
      </c>
      <c r="C174" s="118" t="s">
        <v>13</v>
      </c>
      <c r="D174" s="19" t="s">
        <v>29</v>
      </c>
      <c r="E174" s="118" t="s">
        <v>226</v>
      </c>
      <c r="F174" s="19" t="s">
        <v>16</v>
      </c>
      <c r="G174" s="118"/>
      <c r="H174" s="19"/>
      <c r="I174" s="118" t="s">
        <v>17</v>
      </c>
      <c r="J174" s="58">
        <v>37941</v>
      </c>
      <c r="K174" s="116">
        <f t="shared" si="4"/>
        <v>173</v>
      </c>
      <c r="L174" s="19"/>
      <c r="M174" s="20"/>
    </row>
    <row r="175" s="17" customFormat="1" ht="21" customHeight="1" spans="1:13">
      <c r="A175" s="116">
        <f t="shared" si="5"/>
        <v>174</v>
      </c>
      <c r="B175" s="119">
        <v>1815850</v>
      </c>
      <c r="C175" s="118" t="s">
        <v>13</v>
      </c>
      <c r="D175" s="19" t="s">
        <v>18</v>
      </c>
      <c r="E175" s="118" t="s">
        <v>227</v>
      </c>
      <c r="F175" s="19" t="s">
        <v>16</v>
      </c>
      <c r="G175" s="118" t="s">
        <v>77</v>
      </c>
      <c r="H175" s="19"/>
      <c r="I175" s="118" t="s">
        <v>20</v>
      </c>
      <c r="J175" s="58">
        <v>37941</v>
      </c>
      <c r="K175" s="116">
        <f t="shared" si="4"/>
        <v>174</v>
      </c>
      <c r="L175" s="19"/>
      <c r="M175" s="20"/>
    </row>
    <row r="176" s="17" customFormat="1" ht="21" customHeight="1" spans="1:13">
      <c r="A176" s="116">
        <f t="shared" si="5"/>
        <v>175</v>
      </c>
      <c r="B176" s="119">
        <v>1815650</v>
      </c>
      <c r="C176" s="118" t="s">
        <v>13</v>
      </c>
      <c r="D176" s="19" t="s">
        <v>59</v>
      </c>
      <c r="E176" s="118" t="s">
        <v>228</v>
      </c>
      <c r="F176" s="19" t="s">
        <v>16</v>
      </c>
      <c r="G176" s="118"/>
      <c r="H176" s="19"/>
      <c r="I176" s="118" t="s">
        <v>17</v>
      </c>
      <c r="J176" s="58">
        <v>37941</v>
      </c>
      <c r="K176" s="116">
        <f t="shared" si="4"/>
        <v>175</v>
      </c>
      <c r="L176" s="19"/>
      <c r="M176" s="20"/>
    </row>
    <row r="177" s="17" customFormat="1" ht="21" customHeight="1" spans="1:13">
      <c r="A177" s="116">
        <f t="shared" si="5"/>
        <v>176</v>
      </c>
      <c r="B177" s="119">
        <v>1815680</v>
      </c>
      <c r="C177" s="118" t="s">
        <v>13</v>
      </c>
      <c r="D177" s="19" t="s">
        <v>29</v>
      </c>
      <c r="E177" s="118" t="s">
        <v>136</v>
      </c>
      <c r="F177" s="19" t="s">
        <v>31</v>
      </c>
      <c r="G177" s="118" t="s">
        <v>40</v>
      </c>
      <c r="H177" s="19"/>
      <c r="I177" s="118" t="s">
        <v>17</v>
      </c>
      <c r="J177" s="58">
        <v>37941</v>
      </c>
      <c r="K177" s="116">
        <f t="shared" si="4"/>
        <v>176</v>
      </c>
      <c r="L177" s="19"/>
      <c r="M177" s="20"/>
    </row>
    <row r="178" s="17" customFormat="1" ht="21" customHeight="1" spans="1:13">
      <c r="A178" s="116">
        <f t="shared" si="5"/>
        <v>177</v>
      </c>
      <c r="B178" s="119">
        <v>1815580</v>
      </c>
      <c r="C178" s="118" t="s">
        <v>13</v>
      </c>
      <c r="D178" s="19" t="s">
        <v>29</v>
      </c>
      <c r="E178" s="118" t="s">
        <v>137</v>
      </c>
      <c r="F178" s="19" t="s">
        <v>31</v>
      </c>
      <c r="G178" s="118" t="s">
        <v>40</v>
      </c>
      <c r="H178" s="19"/>
      <c r="I178" s="118" t="s">
        <v>17</v>
      </c>
      <c r="J178" s="58">
        <v>37941</v>
      </c>
      <c r="K178" s="116">
        <f t="shared" si="4"/>
        <v>177</v>
      </c>
      <c r="L178" s="19"/>
      <c r="M178" s="20"/>
    </row>
    <row r="179" s="17" customFormat="1" ht="21" customHeight="1" spans="1:13">
      <c r="A179" s="116">
        <f t="shared" si="5"/>
        <v>178</v>
      </c>
      <c r="B179" s="119">
        <v>1815650</v>
      </c>
      <c r="C179" s="118" t="s">
        <v>13</v>
      </c>
      <c r="D179" s="19" t="s">
        <v>18</v>
      </c>
      <c r="E179" s="118" t="s">
        <v>229</v>
      </c>
      <c r="F179" s="19" t="s">
        <v>65</v>
      </c>
      <c r="G179" s="118" t="s">
        <v>148</v>
      </c>
      <c r="H179" s="19"/>
      <c r="I179" s="118" t="s">
        <v>17</v>
      </c>
      <c r="J179" s="58">
        <v>37941</v>
      </c>
      <c r="K179" s="116">
        <f t="shared" si="4"/>
        <v>178</v>
      </c>
      <c r="L179" s="19"/>
      <c r="M179" s="20"/>
    </row>
    <row r="180" s="17" customFormat="1" ht="21" customHeight="1" spans="1:13">
      <c r="A180" s="116">
        <f t="shared" si="5"/>
        <v>179</v>
      </c>
      <c r="B180" s="119">
        <v>1815640</v>
      </c>
      <c r="C180" s="118" t="s">
        <v>13</v>
      </c>
      <c r="D180" s="19" t="s">
        <v>29</v>
      </c>
      <c r="E180" s="118" t="s">
        <v>230</v>
      </c>
      <c r="F180" s="19" t="s">
        <v>65</v>
      </c>
      <c r="G180" s="118"/>
      <c r="H180" s="19"/>
      <c r="I180" s="118" t="s">
        <v>36</v>
      </c>
      <c r="J180" s="58">
        <v>37941</v>
      </c>
      <c r="K180" s="116">
        <f t="shared" si="4"/>
        <v>179</v>
      </c>
      <c r="L180" s="19"/>
      <c r="M180" s="20"/>
    </row>
    <row r="181" s="17" customFormat="1" ht="21" customHeight="1" spans="1:13">
      <c r="A181" s="116">
        <f t="shared" si="5"/>
        <v>180</v>
      </c>
      <c r="B181" s="119">
        <v>1815640</v>
      </c>
      <c r="C181" s="118" t="s">
        <v>13</v>
      </c>
      <c r="D181" s="19" t="s">
        <v>29</v>
      </c>
      <c r="E181" s="118" t="s">
        <v>139</v>
      </c>
      <c r="F181" s="19" t="s">
        <v>16</v>
      </c>
      <c r="G181" s="118" t="s">
        <v>148</v>
      </c>
      <c r="H181" s="19"/>
      <c r="I181" s="118" t="s">
        <v>17</v>
      </c>
      <c r="J181" s="58">
        <v>37941</v>
      </c>
      <c r="K181" s="116">
        <f t="shared" si="4"/>
        <v>180</v>
      </c>
      <c r="L181" s="19"/>
      <c r="M181" s="20"/>
    </row>
    <row r="182" s="17" customFormat="1" ht="21" customHeight="1" spans="1:13">
      <c r="A182" s="116">
        <f t="shared" si="5"/>
        <v>181</v>
      </c>
      <c r="B182" s="119">
        <v>1815450</v>
      </c>
      <c r="C182" s="118" t="s">
        <v>13</v>
      </c>
      <c r="D182" s="19" t="s">
        <v>18</v>
      </c>
      <c r="E182" s="118" t="s">
        <v>231</v>
      </c>
      <c r="F182" s="19" t="s">
        <v>16</v>
      </c>
      <c r="G182" s="118" t="s">
        <v>191</v>
      </c>
      <c r="H182" s="19"/>
      <c r="I182" s="118" t="s">
        <v>38</v>
      </c>
      <c r="J182" s="58">
        <v>37941</v>
      </c>
      <c r="K182" s="116">
        <f t="shared" ref="K182:K245" si="6">A182</f>
        <v>181</v>
      </c>
      <c r="L182" s="19"/>
      <c r="M182" s="20"/>
    </row>
    <row r="183" s="17" customFormat="1" ht="21" customHeight="1" spans="1:13">
      <c r="A183" s="116">
        <f t="shared" si="5"/>
        <v>182</v>
      </c>
      <c r="B183" s="119">
        <v>1815300</v>
      </c>
      <c r="C183" s="118" t="s">
        <v>13</v>
      </c>
      <c r="D183" s="19" t="s">
        <v>29</v>
      </c>
      <c r="E183" s="118" t="s">
        <v>232</v>
      </c>
      <c r="F183" s="19" t="s">
        <v>65</v>
      </c>
      <c r="G183" s="118" t="s">
        <v>58</v>
      </c>
      <c r="H183" s="19"/>
      <c r="I183" s="118" t="s">
        <v>17</v>
      </c>
      <c r="J183" s="58">
        <v>37941</v>
      </c>
      <c r="K183" s="116">
        <f t="shared" si="6"/>
        <v>182</v>
      </c>
      <c r="L183" s="19"/>
      <c r="M183" s="20"/>
    </row>
    <row r="184" s="17" customFormat="1" ht="21" customHeight="1" spans="1:13">
      <c r="A184" s="116">
        <f t="shared" si="5"/>
        <v>183</v>
      </c>
      <c r="B184" s="119">
        <v>1812500</v>
      </c>
      <c r="C184" s="118" t="s">
        <v>13</v>
      </c>
      <c r="D184" s="19" t="s">
        <v>29</v>
      </c>
      <c r="E184" s="118" t="s">
        <v>233</v>
      </c>
      <c r="F184" s="19" t="s">
        <v>16</v>
      </c>
      <c r="G184" s="118"/>
      <c r="H184" s="19"/>
      <c r="I184" s="118" t="s">
        <v>36</v>
      </c>
      <c r="J184" s="58">
        <v>37941</v>
      </c>
      <c r="K184" s="116">
        <f t="shared" si="6"/>
        <v>183</v>
      </c>
      <c r="L184" s="19"/>
      <c r="M184" s="20"/>
    </row>
    <row r="185" s="17" customFormat="1" ht="21" customHeight="1" spans="1:13">
      <c r="A185" s="116">
        <f t="shared" si="5"/>
        <v>184</v>
      </c>
      <c r="B185" s="119">
        <v>1812150</v>
      </c>
      <c r="C185" s="118" t="s">
        <v>13</v>
      </c>
      <c r="D185" s="19" t="s">
        <v>14</v>
      </c>
      <c r="E185" s="118" t="s">
        <v>234</v>
      </c>
      <c r="F185" s="19" t="s">
        <v>16</v>
      </c>
      <c r="G185" s="118" t="s">
        <v>235</v>
      </c>
      <c r="H185" s="19"/>
      <c r="I185" s="118" t="s">
        <v>36</v>
      </c>
      <c r="J185" s="58">
        <v>37941</v>
      </c>
      <c r="K185" s="116">
        <f t="shared" si="6"/>
        <v>184</v>
      </c>
      <c r="L185" s="19"/>
      <c r="M185" s="20"/>
    </row>
    <row r="186" s="17" customFormat="1" ht="21" customHeight="1" spans="1:13">
      <c r="A186" s="116">
        <f t="shared" si="5"/>
        <v>185</v>
      </c>
      <c r="B186" s="119">
        <v>1811850</v>
      </c>
      <c r="C186" s="118" t="s">
        <v>13</v>
      </c>
      <c r="D186" s="19" t="s">
        <v>18</v>
      </c>
      <c r="E186" s="118" t="s">
        <v>236</v>
      </c>
      <c r="F186" s="19" t="s">
        <v>16</v>
      </c>
      <c r="G186" s="118"/>
      <c r="H186" s="19"/>
      <c r="I186" s="118" t="s">
        <v>17</v>
      </c>
      <c r="J186" s="58">
        <v>37941</v>
      </c>
      <c r="K186" s="116">
        <f t="shared" si="6"/>
        <v>185</v>
      </c>
      <c r="L186" s="19"/>
      <c r="M186" s="20"/>
    </row>
    <row r="187" s="17" customFormat="1" ht="21" customHeight="1" spans="1:13">
      <c r="A187" s="116">
        <f t="shared" si="5"/>
        <v>186</v>
      </c>
      <c r="B187" s="119">
        <v>1811750</v>
      </c>
      <c r="C187" s="118" t="s">
        <v>13</v>
      </c>
      <c r="D187" s="19" t="s">
        <v>14</v>
      </c>
      <c r="E187" s="118" t="s">
        <v>237</v>
      </c>
      <c r="F187" s="19" t="s">
        <v>16</v>
      </c>
      <c r="G187" s="118" t="s">
        <v>235</v>
      </c>
      <c r="H187" s="19"/>
      <c r="I187" s="118" t="s">
        <v>36</v>
      </c>
      <c r="J187" s="58">
        <v>37941</v>
      </c>
      <c r="K187" s="116">
        <f t="shared" si="6"/>
        <v>186</v>
      </c>
      <c r="L187" s="19"/>
      <c r="M187" s="20"/>
    </row>
    <row r="188" s="17" customFormat="1" ht="21" customHeight="1" spans="1:13">
      <c r="A188" s="116">
        <f t="shared" si="5"/>
        <v>187</v>
      </c>
      <c r="B188" s="119">
        <v>1811650</v>
      </c>
      <c r="C188" s="118" t="s">
        <v>13</v>
      </c>
      <c r="D188" s="19" t="s">
        <v>18</v>
      </c>
      <c r="E188" s="118" t="s">
        <v>238</v>
      </c>
      <c r="F188" s="19" t="s">
        <v>16</v>
      </c>
      <c r="G188" s="118" t="s">
        <v>93</v>
      </c>
      <c r="H188" s="19"/>
      <c r="I188" s="118" t="s">
        <v>17</v>
      </c>
      <c r="J188" s="58">
        <v>37941</v>
      </c>
      <c r="K188" s="116">
        <f t="shared" si="6"/>
        <v>187</v>
      </c>
      <c r="L188" s="19"/>
      <c r="M188" s="20"/>
    </row>
    <row r="189" s="17" customFormat="1" ht="21" customHeight="1" spans="1:13">
      <c r="A189" s="116">
        <f t="shared" si="5"/>
        <v>188</v>
      </c>
      <c r="B189" s="119">
        <v>1811500</v>
      </c>
      <c r="C189" s="118" t="s">
        <v>13</v>
      </c>
      <c r="D189" s="19" t="s">
        <v>14</v>
      </c>
      <c r="E189" s="118" t="s">
        <v>239</v>
      </c>
      <c r="F189" s="19" t="s">
        <v>16</v>
      </c>
      <c r="G189" s="118" t="s">
        <v>240</v>
      </c>
      <c r="H189" s="19"/>
      <c r="I189" s="118" t="s">
        <v>36</v>
      </c>
      <c r="J189" s="58">
        <v>37941</v>
      </c>
      <c r="K189" s="116">
        <f t="shared" si="6"/>
        <v>188</v>
      </c>
      <c r="L189" s="19"/>
      <c r="M189" s="20"/>
    </row>
    <row r="190" s="17" customFormat="1" ht="21" customHeight="1" spans="1:13">
      <c r="A190" s="116">
        <f t="shared" si="5"/>
        <v>189</v>
      </c>
      <c r="B190" s="119">
        <v>1811450</v>
      </c>
      <c r="C190" s="118" t="s">
        <v>13</v>
      </c>
      <c r="D190" s="19" t="s">
        <v>14</v>
      </c>
      <c r="E190" s="118" t="s">
        <v>118</v>
      </c>
      <c r="F190" s="19" t="s">
        <v>16</v>
      </c>
      <c r="G190" s="118" t="s">
        <v>241</v>
      </c>
      <c r="H190" s="19"/>
      <c r="I190" s="118" t="s">
        <v>36</v>
      </c>
      <c r="J190" s="58">
        <v>37941</v>
      </c>
      <c r="K190" s="116">
        <f t="shared" si="6"/>
        <v>189</v>
      </c>
      <c r="L190" s="19"/>
      <c r="M190" s="20"/>
    </row>
    <row r="191" s="17" customFormat="1" ht="21" customHeight="1" spans="1:13">
      <c r="A191" s="116">
        <f t="shared" si="5"/>
        <v>190</v>
      </c>
      <c r="B191" s="119">
        <v>1811350</v>
      </c>
      <c r="C191" s="118" t="s">
        <v>13</v>
      </c>
      <c r="D191" s="19" t="s">
        <v>27</v>
      </c>
      <c r="E191" s="118" t="s">
        <v>242</v>
      </c>
      <c r="F191" s="19" t="s">
        <v>16</v>
      </c>
      <c r="G191" s="118"/>
      <c r="H191" s="19"/>
      <c r="I191" s="118" t="s">
        <v>194</v>
      </c>
      <c r="J191" s="58">
        <v>37941</v>
      </c>
      <c r="K191" s="116">
        <f t="shared" si="6"/>
        <v>190</v>
      </c>
      <c r="L191" s="19"/>
      <c r="M191" s="20"/>
    </row>
    <row r="192" s="17" customFormat="1" ht="21" customHeight="1" spans="1:13">
      <c r="A192" s="116">
        <f t="shared" si="5"/>
        <v>191</v>
      </c>
      <c r="B192" s="119">
        <v>1811210</v>
      </c>
      <c r="C192" s="118" t="s">
        <v>13</v>
      </c>
      <c r="D192" s="19" t="s">
        <v>14</v>
      </c>
      <c r="E192" s="118" t="s">
        <v>243</v>
      </c>
      <c r="F192" s="19" t="s">
        <v>16</v>
      </c>
      <c r="G192" s="118" t="s">
        <v>240</v>
      </c>
      <c r="H192" s="19"/>
      <c r="I192" s="118" t="s">
        <v>36</v>
      </c>
      <c r="J192" s="58">
        <v>37941</v>
      </c>
      <c r="K192" s="116">
        <f t="shared" si="6"/>
        <v>191</v>
      </c>
      <c r="L192" s="19"/>
      <c r="M192" s="20"/>
    </row>
    <row r="193" s="17" customFormat="1" ht="21" customHeight="1" spans="1:13">
      <c r="A193" s="116">
        <f t="shared" si="5"/>
        <v>192</v>
      </c>
      <c r="B193" s="119">
        <v>1810990</v>
      </c>
      <c r="C193" s="118" t="s">
        <v>13</v>
      </c>
      <c r="D193" s="19" t="s">
        <v>18</v>
      </c>
      <c r="E193" s="118" t="s">
        <v>163</v>
      </c>
      <c r="F193" s="19" t="s">
        <v>16</v>
      </c>
      <c r="G193" s="118" t="s">
        <v>125</v>
      </c>
      <c r="H193" s="19"/>
      <c r="I193" s="118" t="s">
        <v>20</v>
      </c>
      <c r="J193" s="58">
        <v>37941</v>
      </c>
      <c r="K193" s="116">
        <f t="shared" si="6"/>
        <v>192</v>
      </c>
      <c r="L193" s="19"/>
      <c r="M193" s="20"/>
    </row>
    <row r="194" s="17" customFormat="1" ht="21" customHeight="1" spans="1:13">
      <c r="A194" s="116">
        <f t="shared" si="5"/>
        <v>193</v>
      </c>
      <c r="B194" s="119">
        <v>1810800</v>
      </c>
      <c r="C194" s="118" t="s">
        <v>13</v>
      </c>
      <c r="D194" s="19" t="s">
        <v>29</v>
      </c>
      <c r="E194" s="118" t="s">
        <v>164</v>
      </c>
      <c r="F194" s="19" t="s">
        <v>65</v>
      </c>
      <c r="G194" s="118" t="s">
        <v>148</v>
      </c>
      <c r="H194" s="19"/>
      <c r="I194" s="118" t="s">
        <v>17</v>
      </c>
      <c r="J194" s="58">
        <v>37941</v>
      </c>
      <c r="K194" s="116">
        <f t="shared" si="6"/>
        <v>193</v>
      </c>
      <c r="L194" s="19"/>
      <c r="M194" s="20"/>
    </row>
    <row r="195" s="17" customFormat="1" ht="21" customHeight="1" spans="1:13">
      <c r="A195" s="116">
        <f t="shared" si="5"/>
        <v>194</v>
      </c>
      <c r="B195" s="119">
        <v>1810650</v>
      </c>
      <c r="C195" s="118" t="s">
        <v>13</v>
      </c>
      <c r="D195" s="19" t="s">
        <v>29</v>
      </c>
      <c r="E195" s="118" t="s">
        <v>57</v>
      </c>
      <c r="F195" s="19" t="s">
        <v>65</v>
      </c>
      <c r="G195" s="118" t="s">
        <v>58</v>
      </c>
      <c r="H195" s="19"/>
      <c r="I195" s="118" t="s">
        <v>17</v>
      </c>
      <c r="J195" s="58">
        <v>37941</v>
      </c>
      <c r="K195" s="116">
        <f t="shared" si="6"/>
        <v>194</v>
      </c>
      <c r="L195" s="19"/>
      <c r="M195" s="20"/>
    </row>
    <row r="196" s="17" customFormat="1" ht="21" customHeight="1" spans="1:13">
      <c r="A196" s="116">
        <f t="shared" ref="A196:A259" si="7">ROW(L196)-1</f>
        <v>195</v>
      </c>
      <c r="B196" s="119">
        <v>1810550</v>
      </c>
      <c r="C196" s="118" t="s">
        <v>13</v>
      </c>
      <c r="D196" s="19" t="s">
        <v>29</v>
      </c>
      <c r="E196" s="118" t="s">
        <v>64</v>
      </c>
      <c r="F196" s="19" t="s">
        <v>65</v>
      </c>
      <c r="G196" s="118" t="s">
        <v>58</v>
      </c>
      <c r="H196" s="19"/>
      <c r="I196" s="118" t="s">
        <v>17</v>
      </c>
      <c r="J196" s="58">
        <v>37941</v>
      </c>
      <c r="K196" s="116">
        <f t="shared" si="6"/>
        <v>195</v>
      </c>
      <c r="L196" s="19"/>
      <c r="M196" s="20"/>
    </row>
    <row r="197" s="17" customFormat="1" ht="21" customHeight="1" spans="1:13">
      <c r="A197" s="116">
        <f t="shared" si="7"/>
        <v>196</v>
      </c>
      <c r="B197" s="119">
        <v>1810350</v>
      </c>
      <c r="C197" s="118" t="s">
        <v>13</v>
      </c>
      <c r="D197" s="19" t="s">
        <v>14</v>
      </c>
      <c r="E197" s="118" t="s">
        <v>244</v>
      </c>
      <c r="F197" s="19" t="s">
        <v>16</v>
      </c>
      <c r="G197" s="118" t="s">
        <v>219</v>
      </c>
      <c r="H197" s="19"/>
      <c r="I197" s="118" t="s">
        <v>36</v>
      </c>
      <c r="J197" s="58">
        <v>37941</v>
      </c>
      <c r="K197" s="116">
        <f t="shared" si="6"/>
        <v>196</v>
      </c>
      <c r="L197" s="19"/>
      <c r="M197" s="20"/>
    </row>
    <row r="198" s="17" customFormat="1" ht="21" customHeight="1" spans="1:13">
      <c r="A198" s="116">
        <f t="shared" si="7"/>
        <v>197</v>
      </c>
      <c r="B198" s="119" t="s">
        <v>245</v>
      </c>
      <c r="C198" s="118" t="s">
        <v>13</v>
      </c>
      <c r="D198" s="19" t="s">
        <v>14</v>
      </c>
      <c r="E198" s="118" t="s">
        <v>225</v>
      </c>
      <c r="F198" s="19" t="s">
        <v>16</v>
      </c>
      <c r="G198" s="118" t="s">
        <v>128</v>
      </c>
      <c r="H198" s="19"/>
      <c r="I198" s="118" t="s">
        <v>36</v>
      </c>
      <c r="J198" s="58">
        <v>37941</v>
      </c>
      <c r="K198" s="116">
        <f t="shared" si="6"/>
        <v>197</v>
      </c>
      <c r="L198" s="19"/>
      <c r="M198" s="20"/>
    </row>
    <row r="199" s="17" customFormat="1" ht="21" customHeight="1" spans="1:13">
      <c r="A199" s="116">
        <f t="shared" si="7"/>
        <v>198</v>
      </c>
      <c r="B199" s="119">
        <v>1809750</v>
      </c>
      <c r="C199" s="118" t="s">
        <v>13</v>
      </c>
      <c r="D199" s="19" t="s">
        <v>18</v>
      </c>
      <c r="E199" s="118" t="s">
        <v>231</v>
      </c>
      <c r="F199" s="19" t="s">
        <v>16</v>
      </c>
      <c r="G199" s="118" t="s">
        <v>191</v>
      </c>
      <c r="H199" s="19"/>
      <c r="I199" s="118" t="s">
        <v>38</v>
      </c>
      <c r="J199" s="58">
        <v>37941</v>
      </c>
      <c r="K199" s="116">
        <f t="shared" si="6"/>
        <v>198</v>
      </c>
      <c r="L199" s="19"/>
      <c r="M199" s="20"/>
    </row>
    <row r="200" s="17" customFormat="1" ht="21" customHeight="1" spans="1:13">
      <c r="A200" s="116">
        <f t="shared" si="7"/>
        <v>199</v>
      </c>
      <c r="B200" s="119">
        <v>1809490</v>
      </c>
      <c r="C200" s="118" t="s">
        <v>13</v>
      </c>
      <c r="D200" s="19" t="s">
        <v>59</v>
      </c>
      <c r="E200" s="118" t="s">
        <v>19</v>
      </c>
      <c r="F200" s="19" t="s">
        <v>16</v>
      </c>
      <c r="G200" s="118" t="s">
        <v>71</v>
      </c>
      <c r="H200" s="19"/>
      <c r="I200" s="118" t="s">
        <v>36</v>
      </c>
      <c r="J200" s="58">
        <v>37941</v>
      </c>
      <c r="K200" s="116">
        <f t="shared" si="6"/>
        <v>199</v>
      </c>
      <c r="L200" s="19"/>
      <c r="M200" s="20"/>
    </row>
    <row r="201" s="17" customFormat="1" ht="21" customHeight="1" spans="1:13">
      <c r="A201" s="116">
        <f t="shared" si="7"/>
        <v>200</v>
      </c>
      <c r="B201" s="119">
        <v>1809350</v>
      </c>
      <c r="C201" s="118" t="s">
        <v>13</v>
      </c>
      <c r="D201" s="19" t="s">
        <v>18</v>
      </c>
      <c r="E201" s="118" t="s">
        <v>246</v>
      </c>
      <c r="F201" s="19" t="s">
        <v>16</v>
      </c>
      <c r="G201" s="118" t="s">
        <v>71</v>
      </c>
      <c r="H201" s="19"/>
      <c r="I201" s="118" t="s">
        <v>36</v>
      </c>
      <c r="J201" s="58">
        <v>37941</v>
      </c>
      <c r="K201" s="116">
        <f t="shared" si="6"/>
        <v>200</v>
      </c>
      <c r="L201" s="19"/>
      <c r="M201" s="20"/>
    </row>
    <row r="202" s="17" customFormat="1" ht="21" customHeight="1" spans="1:13">
      <c r="A202" s="116">
        <f t="shared" si="7"/>
        <v>201</v>
      </c>
      <c r="B202" s="119">
        <v>1809300</v>
      </c>
      <c r="C202" s="118" t="s">
        <v>13</v>
      </c>
      <c r="D202" s="19" t="s">
        <v>18</v>
      </c>
      <c r="E202" s="118" t="s">
        <v>247</v>
      </c>
      <c r="F202" s="19" t="s">
        <v>16</v>
      </c>
      <c r="G202" s="118" t="s">
        <v>248</v>
      </c>
      <c r="H202" s="19"/>
      <c r="I202" s="118" t="s">
        <v>20</v>
      </c>
      <c r="J202" s="58">
        <v>37941</v>
      </c>
      <c r="K202" s="116">
        <f t="shared" si="6"/>
        <v>201</v>
      </c>
      <c r="L202" s="19"/>
      <c r="M202" s="20"/>
    </row>
    <row r="203" s="17" customFormat="1" ht="21" customHeight="1" spans="1:13">
      <c r="A203" s="116">
        <f t="shared" si="7"/>
        <v>202</v>
      </c>
      <c r="B203" s="119">
        <v>1809200</v>
      </c>
      <c r="C203" s="118" t="s">
        <v>13</v>
      </c>
      <c r="D203" s="19" t="s">
        <v>18</v>
      </c>
      <c r="E203" s="118" t="s">
        <v>22</v>
      </c>
      <c r="F203" s="19" t="s">
        <v>16</v>
      </c>
      <c r="G203" s="118" t="s">
        <v>203</v>
      </c>
      <c r="H203" s="19"/>
      <c r="I203" s="118" t="s">
        <v>36</v>
      </c>
      <c r="J203" s="58">
        <v>37941</v>
      </c>
      <c r="K203" s="116">
        <f t="shared" si="6"/>
        <v>202</v>
      </c>
      <c r="L203" s="19"/>
      <c r="M203" s="20"/>
    </row>
    <row r="204" s="17" customFormat="1" ht="21" customHeight="1" spans="1:13">
      <c r="A204" s="116">
        <f t="shared" si="7"/>
        <v>203</v>
      </c>
      <c r="B204" s="119">
        <v>1809150</v>
      </c>
      <c r="C204" s="118" t="s">
        <v>13</v>
      </c>
      <c r="D204" s="19" t="s">
        <v>18</v>
      </c>
      <c r="E204" s="118" t="s">
        <v>23</v>
      </c>
      <c r="F204" s="19" t="s">
        <v>16</v>
      </c>
      <c r="G204" s="118" t="s">
        <v>203</v>
      </c>
      <c r="H204" s="19"/>
      <c r="I204" s="118" t="s">
        <v>36</v>
      </c>
      <c r="J204" s="58">
        <v>37941</v>
      </c>
      <c r="K204" s="116">
        <f t="shared" si="6"/>
        <v>203</v>
      </c>
      <c r="L204" s="19"/>
      <c r="M204" s="20"/>
    </row>
    <row r="205" s="17" customFormat="1" ht="21" customHeight="1" spans="1:13">
      <c r="A205" s="116">
        <f t="shared" si="7"/>
        <v>204</v>
      </c>
      <c r="B205" s="119">
        <v>1809100</v>
      </c>
      <c r="C205" s="118" t="s">
        <v>13</v>
      </c>
      <c r="D205" s="19" t="s">
        <v>18</v>
      </c>
      <c r="E205" s="118" t="s">
        <v>24</v>
      </c>
      <c r="F205" s="19" t="s">
        <v>16</v>
      </c>
      <c r="G205" s="118" t="s">
        <v>203</v>
      </c>
      <c r="H205" s="19"/>
      <c r="I205" s="118" t="s">
        <v>36</v>
      </c>
      <c r="J205" s="58">
        <v>37941</v>
      </c>
      <c r="K205" s="116">
        <f t="shared" si="6"/>
        <v>204</v>
      </c>
      <c r="L205" s="19"/>
      <c r="M205" s="20"/>
    </row>
    <row r="206" s="17" customFormat="1" ht="21" customHeight="1" spans="1:13">
      <c r="A206" s="116">
        <f t="shared" si="7"/>
        <v>205</v>
      </c>
      <c r="B206" s="119">
        <v>1809050</v>
      </c>
      <c r="C206" s="118" t="s">
        <v>13</v>
      </c>
      <c r="D206" s="19" t="s">
        <v>18</v>
      </c>
      <c r="E206" s="118" t="s">
        <v>163</v>
      </c>
      <c r="F206" s="19" t="s">
        <v>16</v>
      </c>
      <c r="G206" s="118"/>
      <c r="H206" s="19"/>
      <c r="I206" s="118" t="s">
        <v>20</v>
      </c>
      <c r="J206" s="58">
        <v>37941</v>
      </c>
      <c r="K206" s="116">
        <f t="shared" si="6"/>
        <v>205</v>
      </c>
      <c r="L206" s="19"/>
      <c r="M206" s="20"/>
    </row>
    <row r="207" s="17" customFormat="1" ht="21" customHeight="1" spans="1:13">
      <c r="A207" s="116">
        <f t="shared" si="7"/>
        <v>206</v>
      </c>
      <c r="B207" s="119">
        <v>1808950</v>
      </c>
      <c r="C207" s="118" t="s">
        <v>13</v>
      </c>
      <c r="D207" s="19" t="s">
        <v>18</v>
      </c>
      <c r="E207" s="118" t="s">
        <v>175</v>
      </c>
      <c r="F207" s="19" t="s">
        <v>16</v>
      </c>
      <c r="G207" s="118" t="s">
        <v>162</v>
      </c>
      <c r="H207" s="19"/>
      <c r="I207" s="118" t="s">
        <v>20</v>
      </c>
      <c r="J207" s="58">
        <v>37941</v>
      </c>
      <c r="K207" s="116">
        <f t="shared" si="6"/>
        <v>206</v>
      </c>
      <c r="L207" s="19"/>
      <c r="M207" s="20"/>
    </row>
    <row r="208" s="17" customFormat="1" ht="21" customHeight="1" spans="1:13">
      <c r="A208" s="116">
        <f t="shared" si="7"/>
        <v>207</v>
      </c>
      <c r="B208" s="119">
        <v>1808900</v>
      </c>
      <c r="C208" s="118" t="s">
        <v>13</v>
      </c>
      <c r="D208" s="19" t="s">
        <v>18</v>
      </c>
      <c r="E208" s="118" t="s">
        <v>22</v>
      </c>
      <c r="F208" s="19" t="s">
        <v>16</v>
      </c>
      <c r="G208" s="118" t="s">
        <v>203</v>
      </c>
      <c r="H208" s="19"/>
      <c r="I208" s="118" t="s">
        <v>20</v>
      </c>
      <c r="J208" s="58">
        <v>37941</v>
      </c>
      <c r="K208" s="116">
        <f t="shared" si="6"/>
        <v>207</v>
      </c>
      <c r="L208" s="19"/>
      <c r="M208" s="20"/>
    </row>
    <row r="209" s="17" customFormat="1" ht="21" customHeight="1" spans="1:13">
      <c r="A209" s="116">
        <f t="shared" si="7"/>
        <v>208</v>
      </c>
      <c r="B209" s="119">
        <v>1808850</v>
      </c>
      <c r="C209" s="118" t="s">
        <v>13</v>
      </c>
      <c r="D209" s="19" t="s">
        <v>18</v>
      </c>
      <c r="E209" s="118" t="s">
        <v>23</v>
      </c>
      <c r="F209" s="19" t="s">
        <v>16</v>
      </c>
      <c r="G209" s="118" t="s">
        <v>203</v>
      </c>
      <c r="H209" s="19"/>
      <c r="I209" s="118" t="s">
        <v>36</v>
      </c>
      <c r="J209" s="58">
        <v>37941</v>
      </c>
      <c r="K209" s="116">
        <f t="shared" si="6"/>
        <v>208</v>
      </c>
      <c r="L209" s="19"/>
      <c r="M209" s="20"/>
    </row>
    <row r="210" s="17" customFormat="1" ht="21" customHeight="1" spans="1:13">
      <c r="A210" s="116">
        <f t="shared" si="7"/>
        <v>209</v>
      </c>
      <c r="B210" s="119">
        <v>1808800</v>
      </c>
      <c r="C210" s="118" t="s">
        <v>13</v>
      </c>
      <c r="D210" s="19" t="s">
        <v>18</v>
      </c>
      <c r="E210" s="118" t="s">
        <v>24</v>
      </c>
      <c r="F210" s="19" t="s">
        <v>16</v>
      </c>
      <c r="G210" s="118" t="s">
        <v>203</v>
      </c>
      <c r="H210" s="19"/>
      <c r="I210" s="118" t="s">
        <v>36</v>
      </c>
      <c r="J210" s="58">
        <v>37941</v>
      </c>
      <c r="K210" s="116">
        <f t="shared" si="6"/>
        <v>209</v>
      </c>
      <c r="L210" s="19"/>
      <c r="M210" s="20"/>
    </row>
    <row r="211" s="17" customFormat="1" ht="21" customHeight="1" spans="1:13">
      <c r="A211" s="116">
        <f t="shared" si="7"/>
        <v>210</v>
      </c>
      <c r="B211" s="119">
        <v>1808650</v>
      </c>
      <c r="C211" s="118" t="s">
        <v>13</v>
      </c>
      <c r="D211" s="19" t="s">
        <v>18</v>
      </c>
      <c r="E211" s="118" t="s">
        <v>249</v>
      </c>
      <c r="F211" s="19" t="s">
        <v>16</v>
      </c>
      <c r="G211" s="118" t="s">
        <v>162</v>
      </c>
      <c r="H211" s="19"/>
      <c r="I211" s="118" t="s">
        <v>20</v>
      </c>
      <c r="J211" s="58">
        <v>37941</v>
      </c>
      <c r="K211" s="116">
        <f t="shared" si="6"/>
        <v>210</v>
      </c>
      <c r="L211" s="19"/>
      <c r="M211" s="20"/>
    </row>
    <row r="212" s="17" customFormat="1" ht="21" customHeight="1" spans="1:13">
      <c r="A212" s="116">
        <f t="shared" si="7"/>
        <v>211</v>
      </c>
      <c r="B212" s="119">
        <v>1808200</v>
      </c>
      <c r="C212" s="118" t="s">
        <v>13</v>
      </c>
      <c r="D212" s="19" t="s">
        <v>59</v>
      </c>
      <c r="E212" s="118" t="s">
        <v>250</v>
      </c>
      <c r="F212" s="19" t="s">
        <v>16</v>
      </c>
      <c r="G212" s="118"/>
      <c r="H212" s="19"/>
      <c r="I212" s="118" t="s">
        <v>20</v>
      </c>
      <c r="J212" s="58">
        <v>37941</v>
      </c>
      <c r="K212" s="116">
        <f t="shared" si="6"/>
        <v>211</v>
      </c>
      <c r="L212" s="19"/>
      <c r="M212" s="20"/>
    </row>
    <row r="213" s="17" customFormat="1" ht="21" customHeight="1" spans="1:13">
      <c r="A213" s="116">
        <f t="shared" si="7"/>
        <v>212</v>
      </c>
      <c r="B213" s="119">
        <v>1808000</v>
      </c>
      <c r="C213" s="118" t="s">
        <v>13</v>
      </c>
      <c r="D213" s="19" t="s">
        <v>18</v>
      </c>
      <c r="E213" s="118" t="s">
        <v>251</v>
      </c>
      <c r="F213" s="19" t="s">
        <v>16</v>
      </c>
      <c r="G213" s="118" t="s">
        <v>162</v>
      </c>
      <c r="H213" s="19"/>
      <c r="I213" s="118" t="s">
        <v>20</v>
      </c>
      <c r="J213" s="58">
        <v>37941</v>
      </c>
      <c r="K213" s="116">
        <f t="shared" si="6"/>
        <v>212</v>
      </c>
      <c r="L213" s="19"/>
      <c r="M213" s="20"/>
    </row>
    <row r="214" s="17" customFormat="1" ht="21" customHeight="1" spans="1:13">
      <c r="A214" s="116">
        <f t="shared" si="7"/>
        <v>213</v>
      </c>
      <c r="B214" s="119">
        <v>1807940</v>
      </c>
      <c r="C214" s="118" t="s">
        <v>13</v>
      </c>
      <c r="D214" s="19" t="s">
        <v>29</v>
      </c>
      <c r="E214" s="118" t="s">
        <v>252</v>
      </c>
      <c r="F214" s="19" t="s">
        <v>16</v>
      </c>
      <c r="G214" s="118"/>
      <c r="H214" s="19"/>
      <c r="I214" s="118" t="s">
        <v>36</v>
      </c>
      <c r="J214" s="58">
        <v>37941</v>
      </c>
      <c r="K214" s="116">
        <f t="shared" si="6"/>
        <v>213</v>
      </c>
      <c r="L214" s="19"/>
      <c r="M214" s="20"/>
    </row>
    <row r="215" s="17" customFormat="1" ht="21" customHeight="1" spans="1:13">
      <c r="A215" s="116">
        <f t="shared" si="7"/>
        <v>214</v>
      </c>
      <c r="B215" s="119">
        <v>1807840</v>
      </c>
      <c r="C215" s="118" t="s">
        <v>13</v>
      </c>
      <c r="D215" s="19" t="s">
        <v>59</v>
      </c>
      <c r="E215" s="118" t="s">
        <v>253</v>
      </c>
      <c r="F215" s="19" t="s">
        <v>16</v>
      </c>
      <c r="G215" s="118"/>
      <c r="H215" s="19"/>
      <c r="I215" s="118" t="s">
        <v>36</v>
      </c>
      <c r="J215" s="58">
        <v>37941</v>
      </c>
      <c r="K215" s="116">
        <f t="shared" si="6"/>
        <v>214</v>
      </c>
      <c r="L215" s="19"/>
      <c r="M215" s="20"/>
    </row>
    <row r="216" s="17" customFormat="1" ht="21" customHeight="1" spans="1:13">
      <c r="A216" s="116">
        <f t="shared" si="7"/>
        <v>215</v>
      </c>
      <c r="B216" s="119">
        <v>1807700</v>
      </c>
      <c r="C216" s="118" t="s">
        <v>13</v>
      </c>
      <c r="D216" s="19" t="s">
        <v>18</v>
      </c>
      <c r="E216" s="118" t="s">
        <v>132</v>
      </c>
      <c r="F216" s="19" t="s">
        <v>16</v>
      </c>
      <c r="G216" s="118" t="s">
        <v>77</v>
      </c>
      <c r="H216" s="19"/>
      <c r="I216" s="118" t="s">
        <v>20</v>
      </c>
      <c r="J216" s="58">
        <v>37941</v>
      </c>
      <c r="K216" s="116">
        <f t="shared" si="6"/>
        <v>215</v>
      </c>
      <c r="L216" s="19"/>
      <c r="M216" s="20"/>
    </row>
    <row r="217" s="17" customFormat="1" ht="21" customHeight="1" spans="1:13">
      <c r="A217" s="116">
        <f t="shared" si="7"/>
        <v>216</v>
      </c>
      <c r="B217" s="119">
        <v>1807500</v>
      </c>
      <c r="C217" s="118" t="s">
        <v>13</v>
      </c>
      <c r="D217" s="19" t="s">
        <v>18</v>
      </c>
      <c r="E217" s="118" t="s">
        <v>254</v>
      </c>
      <c r="F217" s="19" t="s">
        <v>65</v>
      </c>
      <c r="G217" s="118" t="s">
        <v>148</v>
      </c>
      <c r="H217" s="19"/>
      <c r="I217" s="118" t="s">
        <v>17</v>
      </c>
      <c r="J217" s="58">
        <v>37941</v>
      </c>
      <c r="K217" s="116">
        <f t="shared" si="6"/>
        <v>216</v>
      </c>
      <c r="L217" s="19"/>
      <c r="M217" s="20"/>
    </row>
    <row r="218" s="17" customFormat="1" ht="21" customHeight="1" spans="1:13">
      <c r="A218" s="116">
        <f t="shared" si="7"/>
        <v>217</v>
      </c>
      <c r="B218" s="119">
        <v>1807450</v>
      </c>
      <c r="C218" s="118" t="s">
        <v>13</v>
      </c>
      <c r="D218" s="19" t="s">
        <v>18</v>
      </c>
      <c r="E218" s="118" t="s">
        <v>255</v>
      </c>
      <c r="F218" s="19" t="s">
        <v>216</v>
      </c>
      <c r="G218" s="118" t="s">
        <v>256</v>
      </c>
      <c r="H218" s="19"/>
      <c r="I218" s="118" t="s">
        <v>17</v>
      </c>
      <c r="J218" s="58">
        <v>37941</v>
      </c>
      <c r="K218" s="116">
        <f t="shared" si="6"/>
        <v>217</v>
      </c>
      <c r="L218" s="19"/>
      <c r="M218" s="20"/>
    </row>
    <row r="219" s="17" customFormat="1" ht="21" customHeight="1" spans="1:13">
      <c r="A219" s="116">
        <f t="shared" si="7"/>
        <v>218</v>
      </c>
      <c r="B219" s="119">
        <v>1807400</v>
      </c>
      <c r="C219" s="118" t="s">
        <v>13</v>
      </c>
      <c r="D219" s="19" t="s">
        <v>29</v>
      </c>
      <c r="E219" s="118" t="s">
        <v>139</v>
      </c>
      <c r="F219" s="19" t="s">
        <v>65</v>
      </c>
      <c r="G219" s="118" t="s">
        <v>257</v>
      </c>
      <c r="H219" s="19"/>
      <c r="I219" s="118" t="s">
        <v>17</v>
      </c>
      <c r="J219" s="58">
        <v>37941</v>
      </c>
      <c r="K219" s="116">
        <f t="shared" si="6"/>
        <v>218</v>
      </c>
      <c r="L219" s="19"/>
      <c r="M219" s="20"/>
    </row>
    <row r="220" s="17" customFormat="1" ht="21" customHeight="1" spans="1:13">
      <c r="A220" s="116">
        <f t="shared" si="7"/>
        <v>219</v>
      </c>
      <c r="B220" s="119">
        <v>1807370</v>
      </c>
      <c r="C220" s="118" t="s">
        <v>13</v>
      </c>
      <c r="D220" s="19" t="s">
        <v>29</v>
      </c>
      <c r="E220" s="118" t="s">
        <v>232</v>
      </c>
      <c r="F220" s="19" t="s">
        <v>65</v>
      </c>
      <c r="G220" s="118" t="s">
        <v>257</v>
      </c>
      <c r="H220" s="19"/>
      <c r="I220" s="118" t="s">
        <v>17</v>
      </c>
      <c r="J220" s="58">
        <v>37941</v>
      </c>
      <c r="K220" s="116">
        <f t="shared" si="6"/>
        <v>219</v>
      </c>
      <c r="L220" s="19"/>
      <c r="M220" s="20"/>
    </row>
    <row r="221" s="17" customFormat="1" ht="21" customHeight="1" spans="1:13">
      <c r="A221" s="116">
        <f t="shared" si="7"/>
        <v>220</v>
      </c>
      <c r="B221" s="119">
        <v>1806350</v>
      </c>
      <c r="C221" s="118" t="s">
        <v>13</v>
      </c>
      <c r="D221" s="19" t="s">
        <v>18</v>
      </c>
      <c r="E221" s="118" t="s">
        <v>258</v>
      </c>
      <c r="F221" s="19" t="s">
        <v>16</v>
      </c>
      <c r="G221" s="118" t="s">
        <v>162</v>
      </c>
      <c r="H221" s="19"/>
      <c r="I221" s="118" t="s">
        <v>20</v>
      </c>
      <c r="J221" s="58">
        <v>37941</v>
      </c>
      <c r="K221" s="116">
        <f t="shared" si="6"/>
        <v>220</v>
      </c>
      <c r="L221" s="19"/>
      <c r="M221" s="20"/>
    </row>
    <row r="222" s="17" customFormat="1" ht="21" customHeight="1" spans="1:13">
      <c r="A222" s="116">
        <f t="shared" si="7"/>
        <v>221</v>
      </c>
      <c r="B222" s="119">
        <v>1806250</v>
      </c>
      <c r="C222" s="118" t="s">
        <v>13</v>
      </c>
      <c r="D222" s="19" t="s">
        <v>18</v>
      </c>
      <c r="E222" s="118" t="s">
        <v>132</v>
      </c>
      <c r="F222" s="19" t="s">
        <v>16</v>
      </c>
      <c r="G222" s="118" t="s">
        <v>77</v>
      </c>
      <c r="H222" s="19"/>
      <c r="I222" s="118" t="s">
        <v>20</v>
      </c>
      <c r="J222" s="58">
        <v>37941</v>
      </c>
      <c r="K222" s="116">
        <f t="shared" si="6"/>
        <v>221</v>
      </c>
      <c r="L222" s="19"/>
      <c r="M222" s="20"/>
    </row>
    <row r="223" s="17" customFormat="1" ht="21" customHeight="1" spans="1:13">
      <c r="A223" s="116">
        <f t="shared" si="7"/>
        <v>222</v>
      </c>
      <c r="B223" s="119">
        <v>1806200</v>
      </c>
      <c r="C223" s="118" t="s">
        <v>13</v>
      </c>
      <c r="D223" s="19" t="s">
        <v>59</v>
      </c>
      <c r="E223" s="118" t="s">
        <v>259</v>
      </c>
      <c r="F223" s="19" t="s">
        <v>16</v>
      </c>
      <c r="G223" s="118" t="s">
        <v>187</v>
      </c>
      <c r="H223" s="19"/>
      <c r="I223" s="119" t="s">
        <v>36</v>
      </c>
      <c r="J223" s="58">
        <v>37941</v>
      </c>
      <c r="K223" s="116">
        <f t="shared" si="6"/>
        <v>222</v>
      </c>
      <c r="L223" s="19"/>
      <c r="M223" s="20"/>
    </row>
    <row r="224" s="17" customFormat="1" ht="21" customHeight="1" spans="1:13">
      <c r="A224" s="116">
        <f t="shared" si="7"/>
        <v>223</v>
      </c>
      <c r="B224" s="119">
        <v>1805850</v>
      </c>
      <c r="C224" s="118" t="s">
        <v>13</v>
      </c>
      <c r="D224" s="19" t="s">
        <v>29</v>
      </c>
      <c r="E224" s="118" t="s">
        <v>232</v>
      </c>
      <c r="F224" s="19" t="s">
        <v>65</v>
      </c>
      <c r="G224" s="118" t="s">
        <v>148</v>
      </c>
      <c r="H224" s="19"/>
      <c r="I224" s="118" t="s">
        <v>17</v>
      </c>
      <c r="J224" s="58">
        <v>37941</v>
      </c>
      <c r="K224" s="116">
        <f t="shared" si="6"/>
        <v>223</v>
      </c>
      <c r="L224" s="19"/>
      <c r="M224" s="20"/>
    </row>
    <row r="225" s="17" customFormat="1" ht="21" customHeight="1" spans="1:13">
      <c r="A225" s="116">
        <f t="shared" si="7"/>
        <v>224</v>
      </c>
      <c r="B225" s="119">
        <v>1805650</v>
      </c>
      <c r="C225" s="118" t="s">
        <v>13</v>
      </c>
      <c r="D225" s="19" t="s">
        <v>18</v>
      </c>
      <c r="E225" s="118" t="s">
        <v>260</v>
      </c>
      <c r="F225" s="19" t="s">
        <v>16</v>
      </c>
      <c r="G225" s="118"/>
      <c r="H225" s="19"/>
      <c r="I225" s="118" t="s">
        <v>20</v>
      </c>
      <c r="J225" s="58">
        <v>37941</v>
      </c>
      <c r="K225" s="116">
        <f t="shared" si="6"/>
        <v>224</v>
      </c>
      <c r="L225" s="19"/>
      <c r="M225" s="20"/>
    </row>
    <row r="226" s="17" customFormat="1" ht="21" customHeight="1" spans="1:13">
      <c r="A226" s="116">
        <f t="shared" si="7"/>
        <v>225</v>
      </c>
      <c r="B226" s="119">
        <v>1805550</v>
      </c>
      <c r="C226" s="118" t="s">
        <v>13</v>
      </c>
      <c r="D226" s="19" t="s">
        <v>18</v>
      </c>
      <c r="E226" s="118" t="s">
        <v>229</v>
      </c>
      <c r="F226" s="19" t="s">
        <v>65</v>
      </c>
      <c r="G226" s="118" t="s">
        <v>148</v>
      </c>
      <c r="H226" s="19"/>
      <c r="I226" s="118" t="s">
        <v>17</v>
      </c>
      <c r="J226" s="58">
        <v>37941</v>
      </c>
      <c r="K226" s="116">
        <f t="shared" si="6"/>
        <v>225</v>
      </c>
      <c r="L226" s="19"/>
      <c r="M226" s="20"/>
    </row>
    <row r="227" s="17" customFormat="1" ht="21" customHeight="1" spans="1:13">
      <c r="A227" s="116">
        <f t="shared" si="7"/>
        <v>226</v>
      </c>
      <c r="B227" s="119">
        <v>1805520</v>
      </c>
      <c r="C227" s="118" t="s">
        <v>13</v>
      </c>
      <c r="D227" s="19" t="s">
        <v>18</v>
      </c>
      <c r="E227" s="118" t="s">
        <v>261</v>
      </c>
      <c r="F227" s="19" t="s">
        <v>216</v>
      </c>
      <c r="G227" s="118" t="s">
        <v>217</v>
      </c>
      <c r="H227" s="19"/>
      <c r="I227" s="118" t="s">
        <v>17</v>
      </c>
      <c r="J227" s="58">
        <v>37941</v>
      </c>
      <c r="K227" s="116">
        <f t="shared" si="6"/>
        <v>226</v>
      </c>
      <c r="L227" s="19"/>
      <c r="M227" s="20"/>
    </row>
    <row r="228" s="17" customFormat="1" ht="21" customHeight="1" spans="1:13">
      <c r="A228" s="116">
        <f t="shared" si="7"/>
        <v>227</v>
      </c>
      <c r="B228" s="119">
        <v>1805500</v>
      </c>
      <c r="C228" s="118" t="s">
        <v>13</v>
      </c>
      <c r="D228" s="19" t="s">
        <v>29</v>
      </c>
      <c r="E228" s="118" t="s">
        <v>138</v>
      </c>
      <c r="F228" s="19" t="s">
        <v>65</v>
      </c>
      <c r="G228" s="118" t="s">
        <v>148</v>
      </c>
      <c r="H228" s="19"/>
      <c r="I228" s="118" t="s">
        <v>17</v>
      </c>
      <c r="J228" s="58">
        <v>37941</v>
      </c>
      <c r="K228" s="116">
        <f t="shared" si="6"/>
        <v>227</v>
      </c>
      <c r="L228" s="19"/>
      <c r="M228" s="20"/>
    </row>
    <row r="229" s="17" customFormat="1" ht="21" customHeight="1" spans="1:13">
      <c r="A229" s="116">
        <f t="shared" si="7"/>
        <v>228</v>
      </c>
      <c r="B229" s="119">
        <v>1804350</v>
      </c>
      <c r="C229" s="118" t="s">
        <v>13</v>
      </c>
      <c r="D229" s="19" t="s">
        <v>18</v>
      </c>
      <c r="E229" s="118" t="s">
        <v>262</v>
      </c>
      <c r="F229" s="19" t="s">
        <v>16</v>
      </c>
      <c r="G229" s="118" t="s">
        <v>162</v>
      </c>
      <c r="H229" s="19"/>
      <c r="I229" s="118" t="s">
        <v>20</v>
      </c>
      <c r="J229" s="58">
        <v>37941</v>
      </c>
      <c r="K229" s="116">
        <f t="shared" si="6"/>
        <v>228</v>
      </c>
      <c r="L229" s="19"/>
      <c r="M229" s="20"/>
    </row>
    <row r="230" s="17" customFormat="1" ht="21" customHeight="1" spans="1:13">
      <c r="A230" s="116">
        <f t="shared" si="7"/>
        <v>229</v>
      </c>
      <c r="B230" s="119">
        <v>1804100</v>
      </c>
      <c r="C230" s="118" t="s">
        <v>13</v>
      </c>
      <c r="D230" s="19" t="s">
        <v>59</v>
      </c>
      <c r="E230" s="118" t="s">
        <v>263</v>
      </c>
      <c r="F230" s="19" t="s">
        <v>216</v>
      </c>
      <c r="G230" s="118" t="s">
        <v>217</v>
      </c>
      <c r="H230" s="19"/>
      <c r="I230" s="118" t="s">
        <v>17</v>
      </c>
      <c r="J230" s="58">
        <v>37941</v>
      </c>
      <c r="K230" s="116">
        <f t="shared" si="6"/>
        <v>229</v>
      </c>
      <c r="L230" s="19"/>
      <c r="M230" s="20"/>
    </row>
    <row r="231" s="17" customFormat="1" ht="21" customHeight="1" spans="1:13">
      <c r="A231" s="116">
        <f t="shared" si="7"/>
        <v>230</v>
      </c>
      <c r="B231" s="119">
        <v>1803950</v>
      </c>
      <c r="C231" s="118" t="s">
        <v>13</v>
      </c>
      <c r="D231" s="19" t="s">
        <v>59</v>
      </c>
      <c r="E231" s="118" t="s">
        <v>264</v>
      </c>
      <c r="F231" s="19" t="s">
        <v>16</v>
      </c>
      <c r="G231" s="118"/>
      <c r="H231" s="19"/>
      <c r="I231" s="118" t="s">
        <v>36</v>
      </c>
      <c r="J231" s="58">
        <v>37941</v>
      </c>
      <c r="K231" s="116">
        <f t="shared" si="6"/>
        <v>230</v>
      </c>
      <c r="L231" s="19"/>
      <c r="M231" s="20"/>
    </row>
    <row r="232" s="17" customFormat="1" ht="21" customHeight="1" spans="1:13">
      <c r="A232" s="116">
        <f t="shared" si="7"/>
        <v>231</v>
      </c>
      <c r="B232" s="119">
        <v>1803800</v>
      </c>
      <c r="C232" s="118" t="s">
        <v>13</v>
      </c>
      <c r="D232" s="19" t="s">
        <v>14</v>
      </c>
      <c r="E232" s="118" t="s">
        <v>265</v>
      </c>
      <c r="F232" s="19" t="s">
        <v>16</v>
      </c>
      <c r="G232" s="118" t="s">
        <v>101</v>
      </c>
      <c r="H232" s="19"/>
      <c r="I232" s="118" t="s">
        <v>36</v>
      </c>
      <c r="J232" s="58">
        <v>37941</v>
      </c>
      <c r="K232" s="116">
        <f t="shared" si="6"/>
        <v>231</v>
      </c>
      <c r="L232" s="19"/>
      <c r="M232" s="20"/>
    </row>
    <row r="233" s="17" customFormat="1" ht="21" customHeight="1" spans="1:13">
      <c r="A233" s="116">
        <f t="shared" si="7"/>
        <v>232</v>
      </c>
      <c r="B233" s="119">
        <v>1803300</v>
      </c>
      <c r="C233" s="118" t="s">
        <v>13</v>
      </c>
      <c r="D233" s="19" t="s">
        <v>18</v>
      </c>
      <c r="E233" s="118" t="s">
        <v>266</v>
      </c>
      <c r="F233" s="19" t="s">
        <v>16</v>
      </c>
      <c r="G233" s="118" t="s">
        <v>162</v>
      </c>
      <c r="H233" s="19"/>
      <c r="I233" s="118" t="s">
        <v>20</v>
      </c>
      <c r="J233" s="58">
        <v>37941</v>
      </c>
      <c r="K233" s="116">
        <f t="shared" si="6"/>
        <v>232</v>
      </c>
      <c r="L233" s="19"/>
      <c r="M233" s="20"/>
    </row>
    <row r="234" s="17" customFormat="1" ht="21" customHeight="1" spans="1:13">
      <c r="A234" s="116">
        <f t="shared" si="7"/>
        <v>233</v>
      </c>
      <c r="B234" s="119">
        <v>1803200</v>
      </c>
      <c r="C234" s="118" t="s">
        <v>13</v>
      </c>
      <c r="D234" s="19" t="s">
        <v>18</v>
      </c>
      <c r="E234" s="118" t="s">
        <v>192</v>
      </c>
      <c r="F234" s="19" t="s">
        <v>16</v>
      </c>
      <c r="G234" s="118" t="s">
        <v>187</v>
      </c>
      <c r="H234" s="19"/>
      <c r="I234" s="118" t="s">
        <v>36</v>
      </c>
      <c r="J234" s="58">
        <v>37941</v>
      </c>
      <c r="K234" s="116">
        <f t="shared" si="6"/>
        <v>233</v>
      </c>
      <c r="L234" s="19"/>
      <c r="M234" s="20"/>
    </row>
    <row r="235" s="17" customFormat="1" ht="21" customHeight="1" spans="1:13">
      <c r="A235" s="116">
        <f t="shared" si="7"/>
        <v>234</v>
      </c>
      <c r="B235" s="119">
        <v>1800950</v>
      </c>
      <c r="C235" s="118" t="s">
        <v>13</v>
      </c>
      <c r="D235" s="19" t="s">
        <v>59</v>
      </c>
      <c r="E235" s="118" t="s">
        <v>264</v>
      </c>
      <c r="F235" s="19" t="s">
        <v>16</v>
      </c>
      <c r="G235" s="118"/>
      <c r="H235" s="19"/>
      <c r="I235" s="118" t="s">
        <v>36</v>
      </c>
      <c r="J235" s="58">
        <v>37941</v>
      </c>
      <c r="K235" s="116">
        <f t="shared" si="6"/>
        <v>234</v>
      </c>
      <c r="L235" s="19"/>
      <c r="M235" s="20"/>
    </row>
    <row r="236" s="17" customFormat="1" ht="21" customHeight="1" spans="1:13">
      <c r="A236" s="116">
        <f t="shared" si="7"/>
        <v>235</v>
      </c>
      <c r="B236" s="119">
        <v>1800750</v>
      </c>
      <c r="C236" s="118" t="s">
        <v>13</v>
      </c>
      <c r="D236" s="19" t="s">
        <v>14</v>
      </c>
      <c r="E236" s="118" t="s">
        <v>267</v>
      </c>
      <c r="F236" s="19" t="s">
        <v>16</v>
      </c>
      <c r="G236" s="118" t="s">
        <v>268</v>
      </c>
      <c r="H236" s="19"/>
      <c r="I236" s="118" t="s">
        <v>36</v>
      </c>
      <c r="J236" s="58">
        <v>37941</v>
      </c>
      <c r="K236" s="116">
        <f t="shared" si="6"/>
        <v>235</v>
      </c>
      <c r="L236" s="19"/>
      <c r="M236" s="20"/>
    </row>
    <row r="237" s="17" customFormat="1" ht="21" customHeight="1" spans="1:13">
      <c r="A237" s="116">
        <f t="shared" si="7"/>
        <v>236</v>
      </c>
      <c r="B237" s="119">
        <v>1800520</v>
      </c>
      <c r="C237" s="118" t="s">
        <v>13</v>
      </c>
      <c r="D237" s="19" t="s">
        <v>18</v>
      </c>
      <c r="E237" s="118" t="s">
        <v>269</v>
      </c>
      <c r="F237" s="19" t="s">
        <v>16</v>
      </c>
      <c r="G237" s="118" t="s">
        <v>162</v>
      </c>
      <c r="H237" s="19"/>
      <c r="I237" s="118" t="s">
        <v>20</v>
      </c>
      <c r="J237" s="58">
        <v>37941</v>
      </c>
      <c r="K237" s="116">
        <f t="shared" si="6"/>
        <v>236</v>
      </c>
      <c r="L237" s="19"/>
      <c r="M237" s="20"/>
    </row>
    <row r="238" s="17" customFormat="1" ht="21" customHeight="1" spans="1:13">
      <c r="A238" s="116">
        <f t="shared" si="7"/>
        <v>237</v>
      </c>
      <c r="B238" s="119">
        <v>1800450</v>
      </c>
      <c r="C238" s="118" t="s">
        <v>13</v>
      </c>
      <c r="D238" s="19" t="s">
        <v>14</v>
      </c>
      <c r="E238" s="118" t="s">
        <v>270</v>
      </c>
      <c r="F238" s="19" t="s">
        <v>16</v>
      </c>
      <c r="G238" s="118" t="s">
        <v>71</v>
      </c>
      <c r="H238" s="19"/>
      <c r="I238" s="118" t="s">
        <v>20</v>
      </c>
      <c r="J238" s="58">
        <v>37941</v>
      </c>
      <c r="K238" s="116">
        <f t="shared" si="6"/>
        <v>237</v>
      </c>
      <c r="L238" s="19"/>
      <c r="M238" s="20"/>
    </row>
    <row r="239" s="17" customFormat="1" ht="21" customHeight="1" spans="1:13">
      <c r="A239" s="116">
        <f t="shared" si="7"/>
        <v>238</v>
      </c>
      <c r="B239" s="119">
        <v>1800350</v>
      </c>
      <c r="C239" s="118" t="s">
        <v>13</v>
      </c>
      <c r="D239" s="19" t="s">
        <v>18</v>
      </c>
      <c r="E239" s="118" t="s">
        <v>231</v>
      </c>
      <c r="F239" s="19" t="s">
        <v>16</v>
      </c>
      <c r="G239" s="118" t="s">
        <v>191</v>
      </c>
      <c r="H239" s="19"/>
      <c r="I239" s="118" t="s">
        <v>38</v>
      </c>
      <c r="J239" s="58">
        <v>37941</v>
      </c>
      <c r="K239" s="116">
        <f t="shared" si="6"/>
        <v>238</v>
      </c>
      <c r="L239" s="19"/>
      <c r="M239" s="20"/>
    </row>
    <row r="240" s="17" customFormat="1" ht="21" customHeight="1" spans="1:13">
      <c r="A240" s="116">
        <f t="shared" si="7"/>
        <v>239</v>
      </c>
      <c r="B240" s="119" t="s">
        <v>271</v>
      </c>
      <c r="C240" s="118" t="s">
        <v>13</v>
      </c>
      <c r="D240" s="19" t="s">
        <v>14</v>
      </c>
      <c r="E240" s="118" t="s">
        <v>272</v>
      </c>
      <c r="F240" s="19" t="s">
        <v>16</v>
      </c>
      <c r="G240" s="118" t="s">
        <v>268</v>
      </c>
      <c r="H240" s="19"/>
      <c r="I240" s="118" t="s">
        <v>36</v>
      </c>
      <c r="J240" s="58">
        <v>37941</v>
      </c>
      <c r="K240" s="116">
        <f t="shared" si="6"/>
        <v>239</v>
      </c>
      <c r="L240" s="19"/>
      <c r="M240" s="20"/>
    </row>
    <row r="241" s="17" customFormat="1" ht="21" customHeight="1" spans="1:13">
      <c r="A241" s="116">
        <f t="shared" si="7"/>
        <v>240</v>
      </c>
      <c r="B241" s="119">
        <v>1799350</v>
      </c>
      <c r="C241" s="118" t="s">
        <v>13</v>
      </c>
      <c r="D241" s="19" t="s">
        <v>14</v>
      </c>
      <c r="E241" s="118" t="s">
        <v>273</v>
      </c>
      <c r="F241" s="19" t="s">
        <v>16</v>
      </c>
      <c r="G241" s="118" t="s">
        <v>235</v>
      </c>
      <c r="H241" s="19"/>
      <c r="I241" s="118" t="s">
        <v>36</v>
      </c>
      <c r="J241" s="58">
        <v>37941</v>
      </c>
      <c r="K241" s="116">
        <f t="shared" si="6"/>
        <v>240</v>
      </c>
      <c r="L241" s="19"/>
      <c r="M241" s="20"/>
    </row>
    <row r="242" s="17" customFormat="1" ht="21" customHeight="1" spans="1:13">
      <c r="A242" s="116">
        <f t="shared" si="7"/>
        <v>241</v>
      </c>
      <c r="B242" s="119">
        <v>1798950</v>
      </c>
      <c r="C242" s="118" t="s">
        <v>13</v>
      </c>
      <c r="D242" s="19" t="s">
        <v>27</v>
      </c>
      <c r="E242" s="118" t="s">
        <v>274</v>
      </c>
      <c r="F242" s="19" t="s">
        <v>16</v>
      </c>
      <c r="G242" s="118" t="s">
        <v>275</v>
      </c>
      <c r="H242" s="19"/>
      <c r="I242" s="118" t="s">
        <v>20</v>
      </c>
      <c r="J242" s="58">
        <v>37941</v>
      </c>
      <c r="K242" s="116">
        <f t="shared" si="6"/>
        <v>241</v>
      </c>
      <c r="L242" s="19"/>
      <c r="M242" s="20"/>
    </row>
    <row r="243" s="17" customFormat="1" ht="21" customHeight="1" spans="1:13">
      <c r="A243" s="116">
        <f t="shared" si="7"/>
        <v>242</v>
      </c>
      <c r="B243" s="119">
        <v>1798750</v>
      </c>
      <c r="C243" s="118" t="s">
        <v>13</v>
      </c>
      <c r="D243" s="19" t="s">
        <v>14</v>
      </c>
      <c r="E243" s="118" t="s">
        <v>276</v>
      </c>
      <c r="F243" s="19" t="s">
        <v>16</v>
      </c>
      <c r="G243" s="118" t="s">
        <v>268</v>
      </c>
      <c r="H243" s="19"/>
      <c r="I243" s="118" t="s">
        <v>36</v>
      </c>
      <c r="J243" s="58">
        <v>37941</v>
      </c>
      <c r="K243" s="116">
        <f t="shared" si="6"/>
        <v>242</v>
      </c>
      <c r="L243" s="19"/>
      <c r="M243" s="20"/>
    </row>
    <row r="244" s="17" customFormat="1" ht="21" customHeight="1" spans="1:13">
      <c r="A244" s="116">
        <f t="shared" si="7"/>
        <v>243</v>
      </c>
      <c r="B244" s="119">
        <v>1798730</v>
      </c>
      <c r="C244" s="118" t="s">
        <v>13</v>
      </c>
      <c r="D244" s="19" t="s">
        <v>27</v>
      </c>
      <c r="E244" s="118" t="s">
        <v>277</v>
      </c>
      <c r="F244" s="19" t="s">
        <v>16</v>
      </c>
      <c r="G244" s="118" t="s">
        <v>278</v>
      </c>
      <c r="H244" s="19"/>
      <c r="I244" s="118" t="s">
        <v>20</v>
      </c>
      <c r="J244" s="58">
        <v>37941</v>
      </c>
      <c r="K244" s="116">
        <f t="shared" si="6"/>
        <v>243</v>
      </c>
      <c r="L244" s="19"/>
      <c r="M244" s="20"/>
    </row>
    <row r="245" s="17" customFormat="1" ht="21" customHeight="1" spans="1:13">
      <c r="A245" s="116">
        <f t="shared" si="7"/>
        <v>244</v>
      </c>
      <c r="B245" s="119">
        <v>1797950</v>
      </c>
      <c r="C245" s="118" t="s">
        <v>13</v>
      </c>
      <c r="D245" s="19" t="s">
        <v>27</v>
      </c>
      <c r="E245" s="118" t="s">
        <v>279</v>
      </c>
      <c r="F245" s="19" t="s">
        <v>16</v>
      </c>
      <c r="G245" s="118" t="s">
        <v>275</v>
      </c>
      <c r="H245" s="19"/>
      <c r="I245" s="118" t="s">
        <v>20</v>
      </c>
      <c r="J245" s="58">
        <v>37941</v>
      </c>
      <c r="K245" s="116">
        <f t="shared" si="6"/>
        <v>244</v>
      </c>
      <c r="L245" s="19"/>
      <c r="M245" s="20"/>
    </row>
    <row r="246" s="17" customFormat="1" ht="21" customHeight="1" spans="1:13">
      <c r="A246" s="116">
        <f t="shared" si="7"/>
        <v>245</v>
      </c>
      <c r="B246" s="119">
        <f>1852400-54600</f>
        <v>1797800</v>
      </c>
      <c r="C246" s="118" t="s">
        <v>13</v>
      </c>
      <c r="D246" s="19" t="s">
        <v>29</v>
      </c>
      <c r="E246" s="118" t="s">
        <v>57</v>
      </c>
      <c r="F246" s="19" t="s">
        <v>65</v>
      </c>
      <c r="G246" s="118" t="s">
        <v>58</v>
      </c>
      <c r="H246" s="19"/>
      <c r="I246" s="118" t="s">
        <v>17</v>
      </c>
      <c r="J246" s="58">
        <v>37941</v>
      </c>
      <c r="K246" s="116">
        <f t="shared" ref="K246:K309" si="8">A246</f>
        <v>245</v>
      </c>
      <c r="L246" s="19"/>
      <c r="M246" s="20"/>
    </row>
    <row r="247" s="17" customFormat="1" ht="21" customHeight="1" spans="1:13">
      <c r="A247" s="116">
        <f t="shared" si="7"/>
        <v>246</v>
      </c>
      <c r="B247" s="119">
        <f>1852400-54700</f>
        <v>1797700</v>
      </c>
      <c r="C247" s="118" t="s">
        <v>13</v>
      </c>
      <c r="D247" s="19" t="s">
        <v>29</v>
      </c>
      <c r="E247" s="118" t="s">
        <v>64</v>
      </c>
      <c r="F247" s="19" t="s">
        <v>65</v>
      </c>
      <c r="G247" s="118" t="s">
        <v>58</v>
      </c>
      <c r="H247" s="19"/>
      <c r="I247" s="118" t="s">
        <v>17</v>
      </c>
      <c r="J247" s="58">
        <v>37941</v>
      </c>
      <c r="K247" s="116">
        <f t="shared" si="8"/>
        <v>246</v>
      </c>
      <c r="L247" s="19"/>
      <c r="M247" s="20"/>
    </row>
    <row r="248" s="17" customFormat="1" ht="21" customHeight="1" spans="1:13">
      <c r="A248" s="116">
        <f t="shared" si="7"/>
        <v>247</v>
      </c>
      <c r="B248" s="119">
        <v>1797500</v>
      </c>
      <c r="C248" s="118" t="s">
        <v>13</v>
      </c>
      <c r="D248" s="19" t="s">
        <v>14</v>
      </c>
      <c r="E248" s="118" t="s">
        <v>120</v>
      </c>
      <c r="F248" s="19" t="s">
        <v>16</v>
      </c>
      <c r="G248" s="118"/>
      <c r="H248" s="19"/>
      <c r="I248" s="118" t="s">
        <v>36</v>
      </c>
      <c r="J248" s="58">
        <v>37941</v>
      </c>
      <c r="K248" s="116">
        <f t="shared" si="8"/>
        <v>247</v>
      </c>
      <c r="L248" s="19"/>
      <c r="M248" s="20"/>
    </row>
    <row r="249" s="17" customFormat="1" ht="21" customHeight="1" spans="1:13">
      <c r="A249" s="116">
        <f t="shared" si="7"/>
        <v>248</v>
      </c>
      <c r="B249" s="119">
        <v>1797490</v>
      </c>
      <c r="C249" s="118" t="s">
        <v>13</v>
      </c>
      <c r="D249" s="19" t="s">
        <v>29</v>
      </c>
      <c r="E249" s="118" t="s">
        <v>164</v>
      </c>
      <c r="F249" s="19" t="s">
        <v>65</v>
      </c>
      <c r="G249" s="118" t="s">
        <v>148</v>
      </c>
      <c r="H249" s="19"/>
      <c r="I249" s="118" t="s">
        <v>17</v>
      </c>
      <c r="J249" s="58">
        <v>37941</v>
      </c>
      <c r="K249" s="116">
        <f t="shared" si="8"/>
        <v>248</v>
      </c>
      <c r="L249" s="19"/>
      <c r="M249" s="20"/>
    </row>
    <row r="250" s="17" customFormat="1" ht="21" customHeight="1" spans="1:13">
      <c r="A250" s="116">
        <f t="shared" si="7"/>
        <v>249</v>
      </c>
      <c r="B250" s="119">
        <v>1797400</v>
      </c>
      <c r="C250" s="118" t="s">
        <v>13</v>
      </c>
      <c r="D250" s="19" t="s">
        <v>18</v>
      </c>
      <c r="E250" s="118" t="s">
        <v>163</v>
      </c>
      <c r="F250" s="19" t="s">
        <v>16</v>
      </c>
      <c r="G250" s="118" t="s">
        <v>125</v>
      </c>
      <c r="H250" s="19"/>
      <c r="I250" s="118" t="s">
        <v>20</v>
      </c>
      <c r="J250" s="58">
        <v>37941</v>
      </c>
      <c r="K250" s="116">
        <f t="shared" si="8"/>
        <v>249</v>
      </c>
      <c r="L250" s="19"/>
      <c r="M250" s="20"/>
    </row>
    <row r="251" s="112" customFormat="1" ht="21" customHeight="1" spans="1:13">
      <c r="A251" s="116">
        <f t="shared" si="7"/>
        <v>250</v>
      </c>
      <c r="B251" s="119">
        <v>1797340</v>
      </c>
      <c r="C251" s="118" t="s">
        <v>13</v>
      </c>
      <c r="D251" s="19" t="s">
        <v>14</v>
      </c>
      <c r="E251" s="118" t="s">
        <v>280</v>
      </c>
      <c r="F251" s="19" t="s">
        <v>16</v>
      </c>
      <c r="G251" s="118" t="s">
        <v>219</v>
      </c>
      <c r="H251" s="19"/>
      <c r="I251" s="118" t="s">
        <v>36</v>
      </c>
      <c r="J251" s="58">
        <v>37941</v>
      </c>
      <c r="K251" s="116">
        <f t="shared" si="8"/>
        <v>250</v>
      </c>
      <c r="L251" s="19"/>
      <c r="M251" s="20"/>
    </row>
    <row r="252" s="17" customFormat="1" ht="21" customHeight="1" spans="1:13">
      <c r="A252" s="116">
        <f t="shared" si="7"/>
        <v>251</v>
      </c>
      <c r="B252" s="119">
        <v>1796780</v>
      </c>
      <c r="C252" s="118" t="s">
        <v>13</v>
      </c>
      <c r="D252" s="19" t="s">
        <v>14</v>
      </c>
      <c r="E252" s="118" t="s">
        <v>225</v>
      </c>
      <c r="F252" s="19" t="s">
        <v>16</v>
      </c>
      <c r="G252" s="118" t="s">
        <v>128</v>
      </c>
      <c r="H252" s="19"/>
      <c r="I252" s="118" t="s">
        <v>20</v>
      </c>
      <c r="J252" s="58">
        <v>37941</v>
      </c>
      <c r="K252" s="116">
        <f t="shared" si="8"/>
        <v>251</v>
      </c>
      <c r="L252" s="19"/>
      <c r="M252" s="20"/>
    </row>
    <row r="253" s="17" customFormat="1" ht="21" customHeight="1" spans="1:13">
      <c r="A253" s="116">
        <f t="shared" si="7"/>
        <v>252</v>
      </c>
      <c r="B253" s="119">
        <v>1795850</v>
      </c>
      <c r="C253" s="118" t="s">
        <v>13</v>
      </c>
      <c r="D253" s="19" t="s">
        <v>14</v>
      </c>
      <c r="E253" s="118" t="s">
        <v>225</v>
      </c>
      <c r="F253" s="19" t="s">
        <v>16</v>
      </c>
      <c r="G253" s="118"/>
      <c r="H253" s="19"/>
      <c r="I253" s="118" t="s">
        <v>20</v>
      </c>
      <c r="J253" s="58">
        <v>37941</v>
      </c>
      <c r="K253" s="116">
        <f t="shared" si="8"/>
        <v>252</v>
      </c>
      <c r="L253" s="19"/>
      <c r="M253" s="20"/>
    </row>
    <row r="254" s="17" customFormat="1" ht="21" customHeight="1" spans="1:13">
      <c r="A254" s="116">
        <f t="shared" si="7"/>
        <v>253</v>
      </c>
      <c r="B254" s="119">
        <v>1795650</v>
      </c>
      <c r="C254" s="118" t="s">
        <v>13</v>
      </c>
      <c r="D254" s="19" t="s">
        <v>14</v>
      </c>
      <c r="E254" s="118" t="s">
        <v>281</v>
      </c>
      <c r="F254" s="19" t="s">
        <v>16</v>
      </c>
      <c r="G254" s="118" t="s">
        <v>101</v>
      </c>
      <c r="H254" s="19"/>
      <c r="I254" s="118" t="s">
        <v>36</v>
      </c>
      <c r="J254" s="58">
        <v>37941</v>
      </c>
      <c r="K254" s="116">
        <f t="shared" si="8"/>
        <v>253</v>
      </c>
      <c r="L254" s="19"/>
      <c r="M254" s="20"/>
    </row>
    <row r="255" s="17" customFormat="1" ht="21" customHeight="1" spans="1:13">
      <c r="A255" s="116">
        <f t="shared" si="7"/>
        <v>254</v>
      </c>
      <c r="B255" s="119">
        <v>1795600</v>
      </c>
      <c r="C255" s="118" t="s">
        <v>13</v>
      </c>
      <c r="D255" s="19" t="s">
        <v>14</v>
      </c>
      <c r="E255" s="118" t="s">
        <v>225</v>
      </c>
      <c r="F255" s="19"/>
      <c r="G255" s="118"/>
      <c r="H255" s="19"/>
      <c r="I255" s="118" t="s">
        <v>36</v>
      </c>
      <c r="J255" s="58">
        <v>37941</v>
      </c>
      <c r="K255" s="116">
        <f t="shared" si="8"/>
        <v>254</v>
      </c>
      <c r="L255" s="19"/>
      <c r="M255" s="20"/>
    </row>
    <row r="256" s="17" customFormat="1" ht="42" customHeight="1" spans="1:13">
      <c r="A256" s="116">
        <f t="shared" si="7"/>
        <v>255</v>
      </c>
      <c r="B256" s="119">
        <v>1795150</v>
      </c>
      <c r="C256" s="118" t="s">
        <v>13</v>
      </c>
      <c r="D256" s="19" t="s">
        <v>14</v>
      </c>
      <c r="E256" s="118" t="s">
        <v>282</v>
      </c>
      <c r="F256" s="19" t="s">
        <v>16</v>
      </c>
      <c r="G256" s="118"/>
      <c r="H256" s="19"/>
      <c r="I256" s="118" t="s">
        <v>38</v>
      </c>
      <c r="J256" s="58">
        <v>37941</v>
      </c>
      <c r="K256" s="116">
        <f t="shared" si="8"/>
        <v>255</v>
      </c>
      <c r="L256" s="19"/>
      <c r="M256" s="20"/>
    </row>
    <row r="257" s="17" customFormat="1" ht="21" customHeight="1" spans="1:13">
      <c r="A257" s="116">
        <f t="shared" si="7"/>
        <v>256</v>
      </c>
      <c r="B257" s="119">
        <v>1795050</v>
      </c>
      <c r="C257" s="118" t="s">
        <v>13</v>
      </c>
      <c r="D257" s="19" t="s">
        <v>29</v>
      </c>
      <c r="E257" s="118" t="s">
        <v>111</v>
      </c>
      <c r="F257" s="19" t="s">
        <v>65</v>
      </c>
      <c r="G257" s="118" t="s">
        <v>148</v>
      </c>
      <c r="H257" s="19"/>
      <c r="I257" s="118" t="s">
        <v>17</v>
      </c>
      <c r="J257" s="58">
        <v>37941</v>
      </c>
      <c r="K257" s="116">
        <f t="shared" si="8"/>
        <v>256</v>
      </c>
      <c r="L257" s="19"/>
      <c r="M257" s="20"/>
    </row>
    <row r="258" s="17" customFormat="1" ht="21" customHeight="1" spans="1:13">
      <c r="A258" s="116">
        <f t="shared" si="7"/>
        <v>257</v>
      </c>
      <c r="B258" s="119">
        <v>1794850</v>
      </c>
      <c r="C258" s="118" t="s">
        <v>13</v>
      </c>
      <c r="D258" s="19" t="s">
        <v>14</v>
      </c>
      <c r="E258" s="118" t="s">
        <v>283</v>
      </c>
      <c r="F258" s="19" t="s">
        <v>16</v>
      </c>
      <c r="G258" s="118"/>
      <c r="H258" s="19"/>
      <c r="I258" s="118" t="s">
        <v>20</v>
      </c>
      <c r="J258" s="58">
        <v>37941</v>
      </c>
      <c r="K258" s="116">
        <f t="shared" si="8"/>
        <v>257</v>
      </c>
      <c r="L258" s="19"/>
      <c r="M258" s="20"/>
    </row>
    <row r="259" s="17" customFormat="1" ht="21" customHeight="1" spans="1:13">
      <c r="A259" s="116">
        <f t="shared" si="7"/>
        <v>258</v>
      </c>
      <c r="B259" s="119">
        <v>1793880</v>
      </c>
      <c r="C259" s="118" t="s">
        <v>13</v>
      </c>
      <c r="D259" s="19" t="s">
        <v>14</v>
      </c>
      <c r="E259" s="118" t="s">
        <v>270</v>
      </c>
      <c r="F259" s="19" t="s">
        <v>16</v>
      </c>
      <c r="G259" s="118"/>
      <c r="H259" s="19"/>
      <c r="I259" s="118" t="s">
        <v>17</v>
      </c>
      <c r="J259" s="58">
        <v>37941</v>
      </c>
      <c r="K259" s="116">
        <f t="shared" si="8"/>
        <v>258</v>
      </c>
      <c r="L259" s="19"/>
      <c r="M259" s="20"/>
    </row>
    <row r="260" s="17" customFormat="1" ht="21" customHeight="1" spans="1:13">
      <c r="A260" s="116">
        <f t="shared" ref="A260:A323" si="9">ROW(L260)-1</f>
        <v>259</v>
      </c>
      <c r="B260" s="119">
        <v>1793500</v>
      </c>
      <c r="C260" s="118" t="s">
        <v>13</v>
      </c>
      <c r="D260" s="19" t="s">
        <v>29</v>
      </c>
      <c r="E260" s="118" t="s">
        <v>57</v>
      </c>
      <c r="F260" s="19" t="s">
        <v>65</v>
      </c>
      <c r="G260" s="118" t="s">
        <v>58</v>
      </c>
      <c r="H260" s="19"/>
      <c r="I260" s="118" t="s">
        <v>17</v>
      </c>
      <c r="J260" s="58">
        <v>37941</v>
      </c>
      <c r="K260" s="116">
        <f t="shared" si="8"/>
        <v>259</v>
      </c>
      <c r="L260" s="19"/>
      <c r="M260" s="20"/>
    </row>
    <row r="261" s="17" customFormat="1" ht="21" customHeight="1" spans="1:13">
      <c r="A261" s="116">
        <f t="shared" si="9"/>
        <v>260</v>
      </c>
      <c r="B261" s="119">
        <v>1793400</v>
      </c>
      <c r="C261" s="118" t="s">
        <v>13</v>
      </c>
      <c r="D261" s="19" t="s">
        <v>29</v>
      </c>
      <c r="E261" s="118" t="s">
        <v>64</v>
      </c>
      <c r="F261" s="19" t="s">
        <v>65</v>
      </c>
      <c r="G261" s="118" t="s">
        <v>58</v>
      </c>
      <c r="H261" s="19"/>
      <c r="I261" s="118" t="s">
        <v>17</v>
      </c>
      <c r="J261" s="58">
        <v>37941</v>
      </c>
      <c r="K261" s="116">
        <f t="shared" si="8"/>
        <v>260</v>
      </c>
      <c r="L261" s="19"/>
      <c r="M261" s="20"/>
    </row>
    <row r="262" s="17" customFormat="1" ht="21" customHeight="1" spans="1:13">
      <c r="A262" s="116">
        <f t="shared" si="9"/>
        <v>261</v>
      </c>
      <c r="B262" s="119">
        <v>1793350</v>
      </c>
      <c r="C262" s="118" t="s">
        <v>13</v>
      </c>
      <c r="D262" s="19" t="s">
        <v>18</v>
      </c>
      <c r="E262" s="118" t="s">
        <v>88</v>
      </c>
      <c r="F262" s="19" t="s">
        <v>16</v>
      </c>
      <c r="G262" s="118" t="s">
        <v>151</v>
      </c>
      <c r="H262" s="19"/>
      <c r="I262" s="118" t="s">
        <v>17</v>
      </c>
      <c r="J262" s="58">
        <v>37941</v>
      </c>
      <c r="K262" s="116">
        <f t="shared" si="8"/>
        <v>261</v>
      </c>
      <c r="L262" s="19"/>
      <c r="M262" s="20"/>
    </row>
    <row r="263" s="17" customFormat="1" ht="21" customHeight="1" spans="1:13">
      <c r="A263" s="116">
        <f t="shared" si="9"/>
        <v>262</v>
      </c>
      <c r="B263" s="119">
        <v>1792450</v>
      </c>
      <c r="C263" s="118" t="s">
        <v>13</v>
      </c>
      <c r="D263" s="19" t="s">
        <v>18</v>
      </c>
      <c r="E263" s="118" t="s">
        <v>163</v>
      </c>
      <c r="F263" s="19" t="s">
        <v>16</v>
      </c>
      <c r="G263" s="118" t="s">
        <v>125</v>
      </c>
      <c r="H263" s="19"/>
      <c r="I263" s="118" t="s">
        <v>20</v>
      </c>
      <c r="J263" s="58">
        <v>37941</v>
      </c>
      <c r="K263" s="116">
        <f t="shared" si="8"/>
        <v>262</v>
      </c>
      <c r="L263" s="19"/>
      <c r="M263" s="20"/>
    </row>
    <row r="264" s="17" customFormat="1" ht="21" customHeight="1" spans="1:13">
      <c r="A264" s="116">
        <f t="shared" si="9"/>
        <v>263</v>
      </c>
      <c r="B264" s="119">
        <v>1791730</v>
      </c>
      <c r="C264" s="118" t="s">
        <v>13</v>
      </c>
      <c r="D264" s="19" t="s">
        <v>14</v>
      </c>
      <c r="E264" s="118" t="s">
        <v>284</v>
      </c>
      <c r="F264" s="19" t="s">
        <v>16</v>
      </c>
      <c r="G264" s="118" t="s">
        <v>101</v>
      </c>
      <c r="H264" s="19"/>
      <c r="I264" s="118" t="s">
        <v>36</v>
      </c>
      <c r="J264" s="58">
        <v>37941</v>
      </c>
      <c r="K264" s="116">
        <f t="shared" si="8"/>
        <v>263</v>
      </c>
      <c r="L264" s="19"/>
      <c r="M264" s="20"/>
    </row>
    <row r="265" s="17" customFormat="1" ht="21" customHeight="1" spans="1:13">
      <c r="A265" s="116">
        <f t="shared" si="9"/>
        <v>264</v>
      </c>
      <c r="B265" s="119">
        <v>1790750</v>
      </c>
      <c r="C265" s="118" t="s">
        <v>13</v>
      </c>
      <c r="D265" s="19" t="s">
        <v>18</v>
      </c>
      <c r="E265" s="118" t="s">
        <v>88</v>
      </c>
      <c r="F265" s="19" t="s">
        <v>16</v>
      </c>
      <c r="G265" s="118" t="s">
        <v>151</v>
      </c>
      <c r="H265" s="19"/>
      <c r="I265" s="118" t="s">
        <v>17</v>
      </c>
      <c r="J265" s="58">
        <v>37941</v>
      </c>
      <c r="K265" s="116">
        <f t="shared" si="8"/>
        <v>264</v>
      </c>
      <c r="L265" s="19"/>
      <c r="M265" s="20"/>
    </row>
    <row r="266" s="17" customFormat="1" ht="21" customHeight="1" spans="1:13">
      <c r="A266" s="116">
        <f t="shared" si="9"/>
        <v>265</v>
      </c>
      <c r="B266" s="119">
        <v>1790700</v>
      </c>
      <c r="C266" s="118" t="s">
        <v>13</v>
      </c>
      <c r="D266" s="19" t="s">
        <v>14</v>
      </c>
      <c r="E266" s="118" t="s">
        <v>285</v>
      </c>
      <c r="F266" s="19" t="s">
        <v>16</v>
      </c>
      <c r="G266" s="118" t="s">
        <v>101</v>
      </c>
      <c r="H266" s="19"/>
      <c r="I266" s="118" t="s">
        <v>36</v>
      </c>
      <c r="J266" s="58">
        <v>37941</v>
      </c>
      <c r="K266" s="116">
        <f t="shared" si="8"/>
        <v>265</v>
      </c>
      <c r="L266" s="19"/>
      <c r="M266" s="20"/>
    </row>
    <row r="267" s="17" customFormat="1" ht="21" customHeight="1" spans="1:13">
      <c r="A267" s="116">
        <f t="shared" si="9"/>
        <v>266</v>
      </c>
      <c r="B267" s="119">
        <v>1789250</v>
      </c>
      <c r="C267" s="118" t="s">
        <v>13</v>
      </c>
      <c r="D267" s="19" t="s">
        <v>59</v>
      </c>
      <c r="E267" s="118" t="s">
        <v>124</v>
      </c>
      <c r="F267" s="19" t="s">
        <v>16</v>
      </c>
      <c r="G267" s="118" t="s">
        <v>176</v>
      </c>
      <c r="H267" s="19"/>
      <c r="I267" s="118" t="s">
        <v>20</v>
      </c>
      <c r="J267" s="58">
        <v>37941</v>
      </c>
      <c r="K267" s="116">
        <f t="shared" si="8"/>
        <v>266</v>
      </c>
      <c r="L267" s="19"/>
      <c r="M267" s="20"/>
    </row>
    <row r="268" s="17" customFormat="1" ht="21" customHeight="1" spans="1:13">
      <c r="A268" s="116">
        <f t="shared" si="9"/>
        <v>267</v>
      </c>
      <c r="B268" s="119">
        <v>1788650</v>
      </c>
      <c r="C268" s="118" t="s">
        <v>13</v>
      </c>
      <c r="D268" s="19" t="s">
        <v>29</v>
      </c>
      <c r="E268" s="118" t="s">
        <v>48</v>
      </c>
      <c r="F268" s="19" t="s">
        <v>31</v>
      </c>
      <c r="G268" s="118" t="s">
        <v>40</v>
      </c>
      <c r="H268" s="19"/>
      <c r="I268" s="118" t="s">
        <v>17</v>
      </c>
      <c r="J268" s="58">
        <v>37941</v>
      </c>
      <c r="K268" s="116">
        <f t="shared" si="8"/>
        <v>267</v>
      </c>
      <c r="L268" s="19"/>
      <c r="M268" s="20"/>
    </row>
    <row r="269" s="17" customFormat="1" ht="21" customHeight="1" spans="1:13">
      <c r="A269" s="116">
        <f t="shared" si="9"/>
        <v>268</v>
      </c>
      <c r="B269" s="119">
        <v>1788550</v>
      </c>
      <c r="C269" s="118" t="s">
        <v>13</v>
      </c>
      <c r="D269" s="19" t="s">
        <v>14</v>
      </c>
      <c r="E269" s="118" t="s">
        <v>286</v>
      </c>
      <c r="F269" s="19" t="s">
        <v>16</v>
      </c>
      <c r="G269" s="118"/>
      <c r="H269" s="19"/>
      <c r="I269" s="118" t="s">
        <v>36</v>
      </c>
      <c r="J269" s="58">
        <v>37941</v>
      </c>
      <c r="K269" s="116">
        <f t="shared" si="8"/>
        <v>268</v>
      </c>
      <c r="L269" s="19"/>
      <c r="M269" s="20"/>
    </row>
    <row r="270" s="17" customFormat="1" ht="21" customHeight="1" spans="1:13">
      <c r="A270" s="116">
        <f t="shared" si="9"/>
        <v>269</v>
      </c>
      <c r="B270" s="119">
        <v>1788050</v>
      </c>
      <c r="C270" s="118" t="s">
        <v>13</v>
      </c>
      <c r="D270" s="19" t="s">
        <v>18</v>
      </c>
      <c r="E270" s="118" t="s">
        <v>88</v>
      </c>
      <c r="F270" s="19" t="s">
        <v>16</v>
      </c>
      <c r="G270" s="118" t="s">
        <v>151</v>
      </c>
      <c r="H270" s="19"/>
      <c r="I270" s="118" t="s">
        <v>17</v>
      </c>
      <c r="J270" s="58">
        <v>37941</v>
      </c>
      <c r="K270" s="116">
        <f t="shared" si="8"/>
        <v>269</v>
      </c>
      <c r="L270" s="19"/>
      <c r="M270" s="20"/>
    </row>
    <row r="271" s="17" customFormat="1" ht="21" customHeight="1" spans="1:13">
      <c r="A271" s="116">
        <f t="shared" si="9"/>
        <v>270</v>
      </c>
      <c r="B271" s="119">
        <v>1786850</v>
      </c>
      <c r="C271" s="118" t="s">
        <v>13</v>
      </c>
      <c r="D271" s="19" t="s">
        <v>18</v>
      </c>
      <c r="E271" s="118" t="s">
        <v>231</v>
      </c>
      <c r="F271" s="19" t="s">
        <v>16</v>
      </c>
      <c r="G271" s="118" t="s">
        <v>191</v>
      </c>
      <c r="H271" s="19"/>
      <c r="I271" s="118" t="s">
        <v>38</v>
      </c>
      <c r="J271" s="58">
        <v>37941</v>
      </c>
      <c r="K271" s="116">
        <f t="shared" si="8"/>
        <v>270</v>
      </c>
      <c r="L271" s="19"/>
      <c r="M271" s="20"/>
    </row>
    <row r="272" s="17" customFormat="1" ht="21" customHeight="1" spans="1:13">
      <c r="A272" s="116">
        <f t="shared" si="9"/>
        <v>271</v>
      </c>
      <c r="B272" s="119">
        <v>1784350</v>
      </c>
      <c r="C272" s="118" t="s">
        <v>13</v>
      </c>
      <c r="D272" s="19" t="s">
        <v>18</v>
      </c>
      <c r="E272" s="118" t="s">
        <v>287</v>
      </c>
      <c r="F272" s="19" t="s">
        <v>16</v>
      </c>
      <c r="G272" s="118" t="s">
        <v>162</v>
      </c>
      <c r="H272" s="19"/>
      <c r="I272" s="118" t="s">
        <v>20</v>
      </c>
      <c r="J272" s="58">
        <v>37941</v>
      </c>
      <c r="K272" s="116">
        <f t="shared" si="8"/>
        <v>271</v>
      </c>
      <c r="L272" s="19"/>
      <c r="M272" s="20"/>
    </row>
    <row r="273" s="17" customFormat="1" ht="21" customHeight="1" spans="1:13">
      <c r="A273" s="116">
        <f t="shared" si="9"/>
        <v>272</v>
      </c>
      <c r="B273" s="119">
        <v>1783850</v>
      </c>
      <c r="C273" s="118" t="s">
        <v>13</v>
      </c>
      <c r="D273" s="19" t="s">
        <v>18</v>
      </c>
      <c r="E273" s="118" t="s">
        <v>88</v>
      </c>
      <c r="F273" s="19" t="s">
        <v>16</v>
      </c>
      <c r="G273" s="118" t="s">
        <v>151</v>
      </c>
      <c r="H273" s="19"/>
      <c r="I273" s="118" t="s">
        <v>17</v>
      </c>
      <c r="J273" s="58">
        <v>37941</v>
      </c>
      <c r="K273" s="116">
        <f t="shared" si="8"/>
        <v>272</v>
      </c>
      <c r="L273" s="19"/>
      <c r="M273" s="20"/>
    </row>
    <row r="274" s="17" customFormat="1" ht="21" customHeight="1" spans="1:13">
      <c r="A274" s="116">
        <f t="shared" si="9"/>
        <v>273</v>
      </c>
      <c r="B274" s="119">
        <v>1783450</v>
      </c>
      <c r="C274" s="118" t="s">
        <v>13</v>
      </c>
      <c r="D274" s="19" t="s">
        <v>18</v>
      </c>
      <c r="E274" s="118" t="s">
        <v>288</v>
      </c>
      <c r="F274" s="19" t="s">
        <v>16</v>
      </c>
      <c r="G274" s="118" t="s">
        <v>162</v>
      </c>
      <c r="H274" s="19"/>
      <c r="I274" s="118" t="s">
        <v>20</v>
      </c>
      <c r="J274" s="58">
        <v>37941</v>
      </c>
      <c r="K274" s="116">
        <f t="shared" si="8"/>
        <v>273</v>
      </c>
      <c r="L274" s="19"/>
      <c r="M274" s="20"/>
    </row>
    <row r="275" s="17" customFormat="1" ht="21" customHeight="1" spans="1:13">
      <c r="A275" s="116">
        <f t="shared" si="9"/>
        <v>274</v>
      </c>
      <c r="B275" s="119">
        <v>1782100</v>
      </c>
      <c r="C275" s="118" t="s">
        <v>13</v>
      </c>
      <c r="D275" s="19" t="s">
        <v>18</v>
      </c>
      <c r="E275" s="118" t="s">
        <v>88</v>
      </c>
      <c r="F275" s="19" t="s">
        <v>16</v>
      </c>
      <c r="G275" s="118" t="s">
        <v>151</v>
      </c>
      <c r="H275" s="19"/>
      <c r="I275" s="118" t="s">
        <v>17</v>
      </c>
      <c r="J275" s="58">
        <v>37941</v>
      </c>
      <c r="K275" s="116">
        <f t="shared" si="8"/>
        <v>274</v>
      </c>
      <c r="L275" s="19"/>
      <c r="M275" s="20"/>
    </row>
    <row r="276" s="17" customFormat="1" ht="21" customHeight="1" spans="1:13">
      <c r="A276" s="116">
        <f t="shared" si="9"/>
        <v>275</v>
      </c>
      <c r="B276" s="119">
        <v>1782650</v>
      </c>
      <c r="C276" s="118" t="s">
        <v>13</v>
      </c>
      <c r="D276" s="19" t="s">
        <v>18</v>
      </c>
      <c r="E276" s="118" t="s">
        <v>289</v>
      </c>
      <c r="F276" s="19" t="s">
        <v>16</v>
      </c>
      <c r="G276" s="118"/>
      <c r="H276" s="19"/>
      <c r="I276" s="118" t="s">
        <v>17</v>
      </c>
      <c r="J276" s="58">
        <v>37941</v>
      </c>
      <c r="K276" s="116">
        <f t="shared" si="8"/>
        <v>275</v>
      </c>
      <c r="L276" s="19"/>
      <c r="M276" s="20"/>
    </row>
    <row r="277" s="17" customFormat="1" ht="21" customHeight="1" spans="1:13">
      <c r="A277" s="116">
        <f t="shared" si="9"/>
        <v>276</v>
      </c>
      <c r="B277" s="119">
        <v>1782550</v>
      </c>
      <c r="C277" s="118" t="s">
        <v>13</v>
      </c>
      <c r="D277" s="19" t="s">
        <v>14</v>
      </c>
      <c r="E277" s="118" t="s">
        <v>290</v>
      </c>
      <c r="F277" s="19" t="s">
        <v>16</v>
      </c>
      <c r="G277" s="118" t="s">
        <v>101</v>
      </c>
      <c r="H277" s="19"/>
      <c r="I277" s="118" t="s">
        <v>36</v>
      </c>
      <c r="J277" s="58">
        <v>37941</v>
      </c>
      <c r="K277" s="116">
        <f t="shared" si="8"/>
        <v>276</v>
      </c>
      <c r="L277" s="19"/>
      <c r="M277" s="20"/>
    </row>
    <row r="278" s="17" customFormat="1" ht="21" customHeight="1" spans="1:13">
      <c r="A278" s="116">
        <f t="shared" si="9"/>
        <v>277</v>
      </c>
      <c r="B278" s="119">
        <v>1782250</v>
      </c>
      <c r="C278" s="118" t="s">
        <v>13</v>
      </c>
      <c r="D278" s="19" t="s">
        <v>14</v>
      </c>
      <c r="E278" s="118" t="s">
        <v>291</v>
      </c>
      <c r="F278" s="19" t="s">
        <v>16</v>
      </c>
      <c r="G278" s="118" t="s">
        <v>235</v>
      </c>
      <c r="H278" s="19"/>
      <c r="I278" s="118" t="s">
        <v>20</v>
      </c>
      <c r="J278" s="58">
        <v>37941</v>
      </c>
      <c r="K278" s="116">
        <f t="shared" si="8"/>
        <v>277</v>
      </c>
      <c r="L278" s="19"/>
      <c r="M278" s="20"/>
    </row>
    <row r="279" s="17" customFormat="1" ht="21" customHeight="1" spans="1:13">
      <c r="A279" s="116">
        <f t="shared" si="9"/>
        <v>278</v>
      </c>
      <c r="B279" s="119">
        <v>1782230</v>
      </c>
      <c r="C279" s="118" t="s">
        <v>13</v>
      </c>
      <c r="D279" s="19" t="s">
        <v>18</v>
      </c>
      <c r="E279" s="118" t="s">
        <v>88</v>
      </c>
      <c r="F279" s="19" t="s">
        <v>16</v>
      </c>
      <c r="G279" s="118" t="s">
        <v>151</v>
      </c>
      <c r="H279" s="19"/>
      <c r="I279" s="118" t="s">
        <v>17</v>
      </c>
      <c r="J279" s="58">
        <v>37941</v>
      </c>
      <c r="K279" s="116">
        <f t="shared" si="8"/>
        <v>278</v>
      </c>
      <c r="L279" s="19"/>
      <c r="M279" s="20"/>
    </row>
    <row r="280" s="17" customFormat="1" ht="21" customHeight="1" spans="1:13">
      <c r="A280" s="116">
        <f t="shared" si="9"/>
        <v>279</v>
      </c>
      <c r="B280" s="119">
        <v>1781200</v>
      </c>
      <c r="C280" s="118" t="s">
        <v>13</v>
      </c>
      <c r="D280" s="19" t="s">
        <v>14</v>
      </c>
      <c r="E280" s="118" t="s">
        <v>292</v>
      </c>
      <c r="F280" s="19" t="s">
        <v>16</v>
      </c>
      <c r="G280" s="118"/>
      <c r="H280" s="19"/>
      <c r="I280" s="118" t="s">
        <v>20</v>
      </c>
      <c r="J280" s="58">
        <v>37941</v>
      </c>
      <c r="K280" s="116">
        <f t="shared" si="8"/>
        <v>279</v>
      </c>
      <c r="L280" s="19"/>
      <c r="M280" s="20"/>
    </row>
    <row r="281" s="17" customFormat="1" ht="21" customHeight="1" spans="1:13">
      <c r="A281" s="116">
        <f t="shared" si="9"/>
        <v>280</v>
      </c>
      <c r="B281" s="119">
        <v>1780300</v>
      </c>
      <c r="C281" s="118" t="s">
        <v>13</v>
      </c>
      <c r="D281" s="19" t="s">
        <v>14</v>
      </c>
      <c r="E281" s="118" t="s">
        <v>293</v>
      </c>
      <c r="F281" s="19" t="s">
        <v>16</v>
      </c>
      <c r="G281" s="118" t="s">
        <v>235</v>
      </c>
      <c r="H281" s="19"/>
      <c r="I281" s="118" t="s">
        <v>20</v>
      </c>
      <c r="J281" s="58">
        <v>37941</v>
      </c>
      <c r="K281" s="116">
        <f t="shared" si="8"/>
        <v>280</v>
      </c>
      <c r="L281" s="19"/>
      <c r="M281" s="20"/>
    </row>
    <row r="282" s="17" customFormat="1" ht="21" customHeight="1" spans="1:13">
      <c r="A282" s="116">
        <f t="shared" si="9"/>
        <v>281</v>
      </c>
      <c r="B282" s="119">
        <v>1780261</v>
      </c>
      <c r="C282" s="118" t="s">
        <v>13</v>
      </c>
      <c r="D282" s="19" t="s">
        <v>14</v>
      </c>
      <c r="E282" s="118" t="s">
        <v>294</v>
      </c>
      <c r="F282" s="19" t="s">
        <v>16</v>
      </c>
      <c r="G282" s="118"/>
      <c r="H282" s="19"/>
      <c r="I282" s="118" t="s">
        <v>20</v>
      </c>
      <c r="J282" s="58">
        <v>37941</v>
      </c>
      <c r="K282" s="116">
        <f t="shared" si="8"/>
        <v>281</v>
      </c>
      <c r="L282" s="19"/>
      <c r="M282" s="20"/>
    </row>
    <row r="283" s="17" customFormat="1" ht="21" customHeight="1" spans="1:13">
      <c r="A283" s="116">
        <f t="shared" si="9"/>
        <v>282</v>
      </c>
      <c r="B283" s="119">
        <v>1780150</v>
      </c>
      <c r="C283" s="118" t="s">
        <v>13</v>
      </c>
      <c r="D283" s="19" t="s">
        <v>14</v>
      </c>
      <c r="E283" s="118" t="s">
        <v>225</v>
      </c>
      <c r="F283" s="19" t="s">
        <v>16</v>
      </c>
      <c r="G283" s="118"/>
      <c r="H283" s="19"/>
      <c r="I283" s="118" t="s">
        <v>38</v>
      </c>
      <c r="J283" s="58">
        <v>37941</v>
      </c>
      <c r="K283" s="116">
        <f t="shared" si="8"/>
        <v>282</v>
      </c>
      <c r="L283" s="19"/>
      <c r="M283" s="20"/>
    </row>
    <row r="284" s="17" customFormat="1" ht="21" customHeight="1" spans="1:13">
      <c r="A284" s="116">
        <f t="shared" si="9"/>
        <v>283</v>
      </c>
      <c r="B284" s="119">
        <v>1780150</v>
      </c>
      <c r="C284" s="118" t="s">
        <v>13</v>
      </c>
      <c r="D284" s="19" t="s">
        <v>14</v>
      </c>
      <c r="E284" s="118" t="s">
        <v>225</v>
      </c>
      <c r="F284" s="19" t="s">
        <v>16</v>
      </c>
      <c r="G284" s="118"/>
      <c r="H284" s="19"/>
      <c r="I284" s="118" t="s">
        <v>36</v>
      </c>
      <c r="J284" s="58">
        <v>37941</v>
      </c>
      <c r="K284" s="116">
        <f t="shared" si="8"/>
        <v>283</v>
      </c>
      <c r="L284" s="19"/>
      <c r="M284" s="20"/>
    </row>
    <row r="285" s="17" customFormat="1" ht="21" customHeight="1" spans="1:13">
      <c r="A285" s="116">
        <f t="shared" si="9"/>
        <v>284</v>
      </c>
      <c r="B285" s="119">
        <v>1779931</v>
      </c>
      <c r="C285" s="118" t="s">
        <v>13</v>
      </c>
      <c r="D285" s="19" t="s">
        <v>14</v>
      </c>
      <c r="E285" s="118" t="s">
        <v>295</v>
      </c>
      <c r="F285" s="19" t="s">
        <v>16</v>
      </c>
      <c r="G285" s="118" t="s">
        <v>235</v>
      </c>
      <c r="H285" s="19"/>
      <c r="I285" s="118" t="s">
        <v>20</v>
      </c>
      <c r="J285" s="58">
        <v>37941</v>
      </c>
      <c r="K285" s="116">
        <f t="shared" si="8"/>
        <v>284</v>
      </c>
      <c r="L285" s="19"/>
      <c r="M285" s="20"/>
    </row>
    <row r="286" s="17" customFormat="1" ht="21" customHeight="1" spans="1:13">
      <c r="A286" s="116">
        <f t="shared" si="9"/>
        <v>285</v>
      </c>
      <c r="B286" s="119">
        <v>1779771</v>
      </c>
      <c r="C286" s="118" t="s">
        <v>13</v>
      </c>
      <c r="D286" s="19" t="s">
        <v>14</v>
      </c>
      <c r="E286" s="118" t="s">
        <v>296</v>
      </c>
      <c r="F286" s="19" t="s">
        <v>16</v>
      </c>
      <c r="G286" s="118"/>
      <c r="H286" s="19"/>
      <c r="I286" s="118" t="s">
        <v>20</v>
      </c>
      <c r="J286" s="58">
        <v>37941</v>
      </c>
      <c r="K286" s="116">
        <f t="shared" si="8"/>
        <v>285</v>
      </c>
      <c r="L286" s="19"/>
      <c r="M286" s="20"/>
    </row>
    <row r="287" s="17" customFormat="1" ht="21" customHeight="1" spans="1:13">
      <c r="A287" s="116">
        <f t="shared" si="9"/>
        <v>286</v>
      </c>
      <c r="B287" s="119">
        <v>1779050</v>
      </c>
      <c r="C287" s="118" t="s">
        <v>13</v>
      </c>
      <c r="D287" s="19" t="s">
        <v>27</v>
      </c>
      <c r="E287" s="118" t="s">
        <v>297</v>
      </c>
      <c r="F287" s="19" t="s">
        <v>16</v>
      </c>
      <c r="G287" s="118" t="s">
        <v>275</v>
      </c>
      <c r="H287" s="19"/>
      <c r="I287" s="118" t="s">
        <v>20</v>
      </c>
      <c r="J287" s="58">
        <v>37941</v>
      </c>
      <c r="K287" s="116">
        <f t="shared" si="8"/>
        <v>286</v>
      </c>
      <c r="L287" s="19"/>
      <c r="M287" s="20"/>
    </row>
    <row r="288" s="17" customFormat="1" ht="21" customHeight="1" spans="1:13">
      <c r="A288" s="116">
        <f t="shared" si="9"/>
        <v>287</v>
      </c>
      <c r="B288" s="119">
        <v>1778850</v>
      </c>
      <c r="C288" s="118" t="s">
        <v>13</v>
      </c>
      <c r="D288" s="19" t="s">
        <v>14</v>
      </c>
      <c r="E288" s="118" t="s">
        <v>298</v>
      </c>
      <c r="F288" s="19" t="s">
        <v>16</v>
      </c>
      <c r="G288" s="118"/>
      <c r="H288" s="19"/>
      <c r="I288" s="118" t="s">
        <v>20</v>
      </c>
      <c r="J288" s="58">
        <v>37941</v>
      </c>
      <c r="K288" s="116">
        <f t="shared" si="8"/>
        <v>287</v>
      </c>
      <c r="L288" s="19"/>
      <c r="M288" s="20"/>
    </row>
    <row r="289" s="17" customFormat="1" ht="21" customHeight="1" spans="1:13">
      <c r="A289" s="116">
        <f t="shared" si="9"/>
        <v>288</v>
      </c>
      <c r="B289" s="119">
        <v>1778750</v>
      </c>
      <c r="C289" s="118" t="s">
        <v>13</v>
      </c>
      <c r="D289" s="19" t="s">
        <v>14</v>
      </c>
      <c r="E289" s="118" t="s">
        <v>299</v>
      </c>
      <c r="F289" s="19" t="s">
        <v>16</v>
      </c>
      <c r="G289" s="118"/>
      <c r="H289" s="19"/>
      <c r="I289" s="118" t="s">
        <v>20</v>
      </c>
      <c r="J289" s="58">
        <v>37941</v>
      </c>
      <c r="K289" s="116">
        <f t="shared" si="8"/>
        <v>288</v>
      </c>
      <c r="L289" s="19"/>
      <c r="M289" s="20"/>
    </row>
    <row r="290" s="17" customFormat="1" ht="21" customHeight="1" spans="1:13">
      <c r="A290" s="116">
        <f t="shared" si="9"/>
        <v>289</v>
      </c>
      <c r="B290" s="119">
        <v>1778650</v>
      </c>
      <c r="C290" s="118" t="s">
        <v>13</v>
      </c>
      <c r="D290" s="19" t="s">
        <v>14</v>
      </c>
      <c r="E290" s="118" t="s">
        <v>300</v>
      </c>
      <c r="F290" s="19" t="s">
        <v>16</v>
      </c>
      <c r="G290" s="118" t="s">
        <v>278</v>
      </c>
      <c r="H290" s="19"/>
      <c r="I290" s="118" t="s">
        <v>36</v>
      </c>
      <c r="J290" s="58">
        <v>37941</v>
      </c>
      <c r="K290" s="116">
        <f t="shared" si="8"/>
        <v>289</v>
      </c>
      <c r="L290" s="19"/>
      <c r="M290" s="20"/>
    </row>
    <row r="291" s="17" customFormat="1" ht="21" customHeight="1" spans="1:13">
      <c r="A291" s="116">
        <f t="shared" si="9"/>
        <v>290</v>
      </c>
      <c r="B291" s="119">
        <v>1778150</v>
      </c>
      <c r="C291" s="118" t="s">
        <v>13</v>
      </c>
      <c r="D291" s="19" t="s">
        <v>29</v>
      </c>
      <c r="E291" s="118" t="s">
        <v>136</v>
      </c>
      <c r="F291" s="19" t="s">
        <v>65</v>
      </c>
      <c r="G291" s="118" t="s">
        <v>58</v>
      </c>
      <c r="H291" s="19"/>
      <c r="I291" s="118" t="s">
        <v>17</v>
      </c>
      <c r="J291" s="58">
        <v>37941</v>
      </c>
      <c r="K291" s="116">
        <f t="shared" si="8"/>
        <v>290</v>
      </c>
      <c r="L291" s="19"/>
      <c r="M291" s="20"/>
    </row>
    <row r="292" s="17" customFormat="1" ht="21" customHeight="1" spans="1:13">
      <c r="A292" s="116">
        <f t="shared" si="9"/>
        <v>291</v>
      </c>
      <c r="B292" s="119">
        <v>1778100</v>
      </c>
      <c r="C292" s="118" t="s">
        <v>13</v>
      </c>
      <c r="D292" s="19" t="s">
        <v>29</v>
      </c>
      <c r="E292" s="118" t="s">
        <v>137</v>
      </c>
      <c r="F292" s="19" t="s">
        <v>65</v>
      </c>
      <c r="G292" s="118" t="s">
        <v>58</v>
      </c>
      <c r="H292" s="19"/>
      <c r="I292" s="118" t="s">
        <v>17</v>
      </c>
      <c r="J292" s="58">
        <v>37941</v>
      </c>
      <c r="K292" s="116">
        <f t="shared" si="8"/>
        <v>291</v>
      </c>
      <c r="L292" s="19"/>
      <c r="M292" s="20"/>
    </row>
    <row r="293" s="17" customFormat="1" ht="21" customHeight="1" spans="1:13">
      <c r="A293" s="116">
        <f t="shared" si="9"/>
        <v>292</v>
      </c>
      <c r="B293" s="119">
        <v>1777950</v>
      </c>
      <c r="C293" s="118" t="s">
        <v>13</v>
      </c>
      <c r="D293" s="19" t="s">
        <v>14</v>
      </c>
      <c r="E293" s="118" t="s">
        <v>225</v>
      </c>
      <c r="F293" s="19" t="s">
        <v>16</v>
      </c>
      <c r="G293" s="118"/>
      <c r="H293" s="19"/>
      <c r="I293" s="118" t="s">
        <v>38</v>
      </c>
      <c r="J293" s="58">
        <v>37941</v>
      </c>
      <c r="K293" s="116">
        <f t="shared" si="8"/>
        <v>292</v>
      </c>
      <c r="L293" s="19"/>
      <c r="M293" s="20"/>
    </row>
    <row r="294" s="17" customFormat="1" ht="21" customHeight="1" spans="1:13">
      <c r="A294" s="116">
        <f t="shared" si="9"/>
        <v>293</v>
      </c>
      <c r="B294" s="119">
        <v>1777650</v>
      </c>
      <c r="C294" s="118" t="s">
        <v>13</v>
      </c>
      <c r="D294" s="19" t="s">
        <v>69</v>
      </c>
      <c r="E294" s="118" t="s">
        <v>225</v>
      </c>
      <c r="F294" s="19" t="s">
        <v>16</v>
      </c>
      <c r="G294" s="118"/>
      <c r="H294" s="19"/>
      <c r="I294" s="118" t="s">
        <v>38</v>
      </c>
      <c r="J294" s="58">
        <v>37941</v>
      </c>
      <c r="K294" s="116">
        <f t="shared" si="8"/>
        <v>293</v>
      </c>
      <c r="L294" s="19"/>
      <c r="M294" s="20"/>
    </row>
    <row r="295" s="17" customFormat="1" ht="37.5" customHeight="1" spans="1:13">
      <c r="A295" s="116">
        <f t="shared" si="9"/>
        <v>294</v>
      </c>
      <c r="B295" s="119">
        <v>1777550</v>
      </c>
      <c r="C295" s="118" t="s">
        <v>13</v>
      </c>
      <c r="D295" s="19" t="s">
        <v>14</v>
      </c>
      <c r="E295" s="118" t="s">
        <v>301</v>
      </c>
      <c r="F295" s="19" t="s">
        <v>16</v>
      </c>
      <c r="G295" s="118"/>
      <c r="H295" s="19"/>
      <c r="I295" s="118" t="s">
        <v>38</v>
      </c>
      <c r="J295" s="58">
        <v>37941</v>
      </c>
      <c r="K295" s="116">
        <f t="shared" si="8"/>
        <v>294</v>
      </c>
      <c r="L295" s="19"/>
      <c r="M295" s="20"/>
    </row>
    <row r="296" s="17" customFormat="1" ht="21" customHeight="1" spans="1:13">
      <c r="A296" s="116">
        <f t="shared" si="9"/>
        <v>295</v>
      </c>
      <c r="B296" s="119">
        <v>1777350</v>
      </c>
      <c r="C296" s="118" t="s">
        <v>13</v>
      </c>
      <c r="D296" s="19" t="s">
        <v>29</v>
      </c>
      <c r="E296" s="118" t="s">
        <v>111</v>
      </c>
      <c r="F296" s="19" t="s">
        <v>65</v>
      </c>
      <c r="G296" s="118" t="s">
        <v>148</v>
      </c>
      <c r="H296" s="19"/>
      <c r="I296" s="118" t="s">
        <v>17</v>
      </c>
      <c r="J296" s="58">
        <v>37941</v>
      </c>
      <c r="K296" s="116">
        <f t="shared" si="8"/>
        <v>295</v>
      </c>
      <c r="L296" s="19"/>
      <c r="M296" s="20"/>
    </row>
    <row r="297" s="17" customFormat="1" ht="21" customHeight="1" spans="1:13">
      <c r="A297" s="116">
        <f t="shared" si="9"/>
        <v>296</v>
      </c>
      <c r="B297" s="119">
        <v>1777050</v>
      </c>
      <c r="C297" s="118" t="s">
        <v>13</v>
      </c>
      <c r="D297" s="19" t="s">
        <v>29</v>
      </c>
      <c r="E297" s="118" t="s">
        <v>114</v>
      </c>
      <c r="F297" s="19" t="s">
        <v>65</v>
      </c>
      <c r="G297" s="118" t="s">
        <v>148</v>
      </c>
      <c r="H297" s="19"/>
      <c r="I297" s="118" t="s">
        <v>17</v>
      </c>
      <c r="J297" s="58">
        <v>37941</v>
      </c>
      <c r="K297" s="116">
        <f t="shared" si="8"/>
        <v>296</v>
      </c>
      <c r="L297" s="19"/>
      <c r="M297" s="20"/>
    </row>
    <row r="298" s="17" customFormat="1" ht="21" customHeight="1" spans="1:13">
      <c r="A298" s="116">
        <f t="shared" si="9"/>
        <v>297</v>
      </c>
      <c r="B298" s="120" t="s">
        <v>302</v>
      </c>
      <c r="C298" s="118" t="s">
        <v>13</v>
      </c>
      <c r="D298" s="19" t="s">
        <v>14</v>
      </c>
      <c r="E298" s="118" t="s">
        <v>303</v>
      </c>
      <c r="F298" s="19" t="s">
        <v>16</v>
      </c>
      <c r="G298" s="118"/>
      <c r="H298" s="19"/>
      <c r="I298" s="118" t="s">
        <v>304</v>
      </c>
      <c r="J298" s="58">
        <v>37941</v>
      </c>
      <c r="K298" s="116">
        <f t="shared" si="8"/>
        <v>297</v>
      </c>
      <c r="L298" s="19"/>
      <c r="M298" s="20"/>
    </row>
    <row r="299" s="17" customFormat="1" ht="21" customHeight="1" spans="1:13">
      <c r="A299" s="116">
        <f t="shared" si="9"/>
        <v>298</v>
      </c>
      <c r="B299" s="120" t="s">
        <v>305</v>
      </c>
      <c r="C299" s="118" t="s">
        <v>13</v>
      </c>
      <c r="D299" s="19" t="s">
        <v>14</v>
      </c>
      <c r="E299" s="118" t="s">
        <v>306</v>
      </c>
      <c r="F299" s="19" t="s">
        <v>16</v>
      </c>
      <c r="G299" s="118"/>
      <c r="H299" s="19"/>
      <c r="I299" s="118" t="s">
        <v>20</v>
      </c>
      <c r="J299" s="58">
        <v>37941</v>
      </c>
      <c r="K299" s="116">
        <f t="shared" si="8"/>
        <v>298</v>
      </c>
      <c r="L299" s="19"/>
      <c r="M299" s="20"/>
    </row>
    <row r="300" s="17" customFormat="1" ht="21" customHeight="1" spans="1:13">
      <c r="A300" s="116">
        <f t="shared" si="9"/>
        <v>299</v>
      </c>
      <c r="B300" s="121" t="s">
        <v>307</v>
      </c>
      <c r="C300" s="118" t="s">
        <v>13</v>
      </c>
      <c r="D300" s="19" t="s">
        <v>18</v>
      </c>
      <c r="E300" s="118" t="s">
        <v>308</v>
      </c>
      <c r="F300" s="19" t="s">
        <v>16</v>
      </c>
      <c r="G300" s="122"/>
      <c r="H300" s="122"/>
      <c r="I300" s="123" t="s">
        <v>36</v>
      </c>
      <c r="J300" s="58">
        <v>37941</v>
      </c>
      <c r="K300" s="116">
        <f t="shared" si="8"/>
        <v>299</v>
      </c>
      <c r="L300" s="122"/>
      <c r="M300" s="20"/>
    </row>
    <row r="301" s="17" customFormat="1" ht="21" customHeight="1" spans="1:13">
      <c r="A301" s="116">
        <f t="shared" si="9"/>
        <v>300</v>
      </c>
      <c r="B301" s="121" t="s">
        <v>309</v>
      </c>
      <c r="C301" s="118" t="s">
        <v>13</v>
      </c>
      <c r="D301" s="19" t="s">
        <v>18</v>
      </c>
      <c r="E301" s="123" t="s">
        <v>310</v>
      </c>
      <c r="F301" s="19" t="s">
        <v>16</v>
      </c>
      <c r="G301" s="122"/>
      <c r="H301" s="122"/>
      <c r="I301" s="123" t="s">
        <v>20</v>
      </c>
      <c r="J301" s="58">
        <v>37941</v>
      </c>
      <c r="K301" s="116">
        <f t="shared" si="8"/>
        <v>300</v>
      </c>
      <c r="L301" s="122"/>
      <c r="M301" s="20"/>
    </row>
    <row r="302" s="17" customFormat="1" ht="21" customHeight="1" spans="1:13">
      <c r="A302" s="116">
        <f t="shared" si="9"/>
        <v>301</v>
      </c>
      <c r="B302" s="121" t="s">
        <v>311</v>
      </c>
      <c r="C302" s="118" t="s">
        <v>13</v>
      </c>
      <c r="D302" s="19" t="s">
        <v>18</v>
      </c>
      <c r="E302" s="118" t="s">
        <v>312</v>
      </c>
      <c r="F302" s="19" t="s">
        <v>16</v>
      </c>
      <c r="G302" s="122"/>
      <c r="H302" s="122"/>
      <c r="I302" s="123" t="s">
        <v>36</v>
      </c>
      <c r="J302" s="58">
        <v>37941</v>
      </c>
      <c r="K302" s="116">
        <f t="shared" si="8"/>
        <v>301</v>
      </c>
      <c r="L302" s="122"/>
      <c r="M302" s="20"/>
    </row>
    <row r="303" s="17" customFormat="1" ht="21" customHeight="1" spans="1:13">
      <c r="A303" s="116">
        <f t="shared" si="9"/>
        <v>302</v>
      </c>
      <c r="B303" s="121" t="s">
        <v>313</v>
      </c>
      <c r="C303" s="118" t="s">
        <v>13</v>
      </c>
      <c r="D303" s="19" t="s">
        <v>18</v>
      </c>
      <c r="E303" s="123" t="s">
        <v>314</v>
      </c>
      <c r="F303" s="19" t="s">
        <v>31</v>
      </c>
      <c r="G303" s="118" t="s">
        <v>112</v>
      </c>
      <c r="H303" s="122"/>
      <c r="I303" s="118" t="s">
        <v>17</v>
      </c>
      <c r="J303" s="58">
        <v>37941</v>
      </c>
      <c r="K303" s="116">
        <f t="shared" si="8"/>
        <v>302</v>
      </c>
      <c r="L303" s="122"/>
      <c r="M303" s="20"/>
    </row>
    <row r="304" s="17" customFormat="1" ht="21" customHeight="1" spans="1:13">
      <c r="A304" s="116">
        <f t="shared" si="9"/>
        <v>303</v>
      </c>
      <c r="B304" s="121" t="s">
        <v>313</v>
      </c>
      <c r="C304" s="118" t="s">
        <v>13</v>
      </c>
      <c r="D304" s="19" t="s">
        <v>18</v>
      </c>
      <c r="E304" s="123" t="s">
        <v>315</v>
      </c>
      <c r="F304" s="19" t="s">
        <v>16</v>
      </c>
      <c r="G304" s="122"/>
      <c r="H304" s="122"/>
      <c r="I304" s="123" t="s">
        <v>20</v>
      </c>
      <c r="J304" s="58">
        <v>37941</v>
      </c>
      <c r="K304" s="116">
        <f t="shared" si="8"/>
        <v>303</v>
      </c>
      <c r="L304" s="122"/>
      <c r="M304" s="20"/>
    </row>
    <row r="305" s="17" customFormat="1" ht="21" customHeight="1" spans="1:13">
      <c r="A305" s="116">
        <f t="shared" si="9"/>
        <v>304</v>
      </c>
      <c r="B305" s="121" t="s">
        <v>316</v>
      </c>
      <c r="C305" s="118" t="s">
        <v>13</v>
      </c>
      <c r="D305" s="19" t="s">
        <v>18</v>
      </c>
      <c r="E305" s="123" t="s">
        <v>317</v>
      </c>
      <c r="F305" s="19" t="s">
        <v>16</v>
      </c>
      <c r="G305" s="122"/>
      <c r="H305" s="122"/>
      <c r="I305" s="123" t="s">
        <v>20</v>
      </c>
      <c r="J305" s="58">
        <v>37941</v>
      </c>
      <c r="K305" s="116">
        <f t="shared" si="8"/>
        <v>304</v>
      </c>
      <c r="L305" s="122"/>
      <c r="M305" s="20"/>
    </row>
    <row r="306" s="17" customFormat="1" ht="21" customHeight="1" spans="1:13">
      <c r="A306" s="116">
        <f t="shared" si="9"/>
        <v>305</v>
      </c>
      <c r="B306" s="121" t="s">
        <v>318</v>
      </c>
      <c r="C306" s="118" t="s">
        <v>13</v>
      </c>
      <c r="D306" s="19" t="s">
        <v>18</v>
      </c>
      <c r="E306" s="123" t="s">
        <v>319</v>
      </c>
      <c r="F306" s="19" t="s">
        <v>16</v>
      </c>
      <c r="G306" s="122"/>
      <c r="H306" s="122"/>
      <c r="I306" s="123" t="s">
        <v>36</v>
      </c>
      <c r="J306" s="58">
        <v>37941</v>
      </c>
      <c r="K306" s="116">
        <f t="shared" si="8"/>
        <v>305</v>
      </c>
      <c r="L306" s="122"/>
      <c r="M306" s="20"/>
    </row>
    <row r="307" s="17" customFormat="1" ht="21" customHeight="1" spans="1:13">
      <c r="A307" s="116">
        <f t="shared" si="9"/>
        <v>306</v>
      </c>
      <c r="B307" s="121" t="s">
        <v>320</v>
      </c>
      <c r="C307" s="118" t="s">
        <v>13</v>
      </c>
      <c r="D307" s="19" t="s">
        <v>18</v>
      </c>
      <c r="E307" s="123" t="s">
        <v>321</v>
      </c>
      <c r="F307" s="19" t="s">
        <v>16</v>
      </c>
      <c r="G307" s="122"/>
      <c r="H307" s="122"/>
      <c r="I307" s="123" t="s">
        <v>20</v>
      </c>
      <c r="J307" s="58">
        <v>37941</v>
      </c>
      <c r="K307" s="116">
        <f t="shared" si="8"/>
        <v>306</v>
      </c>
      <c r="L307" s="122"/>
      <c r="M307" s="20"/>
    </row>
    <row r="308" s="17" customFormat="1" ht="27.75" customHeight="1" spans="1:13">
      <c r="A308" s="116">
        <f t="shared" si="9"/>
        <v>307</v>
      </c>
      <c r="B308" s="119">
        <v>1852000</v>
      </c>
      <c r="C308" s="19" t="s">
        <v>322</v>
      </c>
      <c r="D308" s="19" t="s">
        <v>18</v>
      </c>
      <c r="E308" s="124" t="s">
        <v>323</v>
      </c>
      <c r="F308" s="19" t="s">
        <v>16</v>
      </c>
      <c r="G308" s="118"/>
      <c r="H308" s="19"/>
      <c r="I308" s="118" t="s">
        <v>17</v>
      </c>
      <c r="J308" s="58">
        <v>37941</v>
      </c>
      <c r="K308" s="116">
        <f t="shared" si="8"/>
        <v>307</v>
      </c>
      <c r="L308" s="19"/>
      <c r="M308" s="20"/>
    </row>
    <row r="309" s="17" customFormat="1" ht="27.75" customHeight="1" spans="1:13">
      <c r="A309" s="116">
        <f t="shared" si="9"/>
        <v>308</v>
      </c>
      <c r="B309" s="119">
        <v>1851450</v>
      </c>
      <c r="C309" s="19" t="s">
        <v>322</v>
      </c>
      <c r="D309" s="19" t="s">
        <v>18</v>
      </c>
      <c r="E309" s="125" t="s">
        <v>324</v>
      </c>
      <c r="F309" s="19" t="s">
        <v>16</v>
      </c>
      <c r="G309" s="118"/>
      <c r="H309" s="19"/>
      <c r="I309" s="118" t="s">
        <v>36</v>
      </c>
      <c r="J309" s="58">
        <v>37941</v>
      </c>
      <c r="K309" s="116">
        <f t="shared" si="8"/>
        <v>308</v>
      </c>
      <c r="L309" s="19"/>
      <c r="M309" s="20"/>
    </row>
    <row r="310" s="17" customFormat="1" ht="27.75" customHeight="1" spans="1:13">
      <c r="A310" s="116">
        <f t="shared" si="9"/>
        <v>309</v>
      </c>
      <c r="B310" s="119">
        <v>1850450</v>
      </c>
      <c r="C310" s="19" t="s">
        <v>322</v>
      </c>
      <c r="D310" s="19" t="s">
        <v>18</v>
      </c>
      <c r="E310" s="125" t="s">
        <v>325</v>
      </c>
      <c r="F310" s="19" t="s">
        <v>16</v>
      </c>
      <c r="G310" s="118"/>
      <c r="H310" s="19"/>
      <c r="I310" s="118" t="s">
        <v>20</v>
      </c>
      <c r="J310" s="58">
        <v>37941</v>
      </c>
      <c r="K310" s="116">
        <f t="shared" ref="K310:K373" si="10">A310</f>
        <v>309</v>
      </c>
      <c r="L310" s="19"/>
      <c r="M310" s="20"/>
    </row>
    <row r="311" s="17" customFormat="1" ht="27.75" customHeight="1" spans="1:13">
      <c r="A311" s="116">
        <f t="shared" si="9"/>
        <v>310</v>
      </c>
      <c r="B311" s="119">
        <v>1850250</v>
      </c>
      <c r="C311" s="19" t="s">
        <v>322</v>
      </c>
      <c r="D311" s="19" t="s">
        <v>18</v>
      </c>
      <c r="E311" s="125" t="s">
        <v>326</v>
      </c>
      <c r="F311" s="19" t="s">
        <v>16</v>
      </c>
      <c r="G311" s="118"/>
      <c r="H311" s="19"/>
      <c r="I311" s="118" t="s">
        <v>36</v>
      </c>
      <c r="J311" s="58">
        <v>37941</v>
      </c>
      <c r="K311" s="116">
        <f t="shared" si="10"/>
        <v>310</v>
      </c>
      <c r="L311" s="19"/>
      <c r="M311" s="20"/>
    </row>
    <row r="312" s="17" customFormat="1" ht="27.75" customHeight="1" spans="1:13">
      <c r="A312" s="116">
        <f t="shared" si="9"/>
        <v>311</v>
      </c>
      <c r="B312" s="119">
        <v>1850000</v>
      </c>
      <c r="C312" s="19" t="s">
        <v>322</v>
      </c>
      <c r="D312" s="19" t="s">
        <v>18</v>
      </c>
      <c r="E312" s="126" t="s">
        <v>24</v>
      </c>
      <c r="F312" s="19" t="s">
        <v>16</v>
      </c>
      <c r="G312" s="118"/>
      <c r="H312" s="19"/>
      <c r="I312" s="118" t="s">
        <v>17</v>
      </c>
      <c r="J312" s="58">
        <v>37941</v>
      </c>
      <c r="K312" s="116">
        <f t="shared" si="10"/>
        <v>311</v>
      </c>
      <c r="L312" s="19"/>
      <c r="M312" s="20"/>
    </row>
    <row r="313" s="17" customFormat="1" ht="27.75" customHeight="1" spans="1:13">
      <c r="A313" s="116">
        <f t="shared" si="9"/>
        <v>312</v>
      </c>
      <c r="B313" s="119">
        <v>1849950</v>
      </c>
      <c r="C313" s="19" t="s">
        <v>322</v>
      </c>
      <c r="D313" s="19" t="s">
        <v>18</v>
      </c>
      <c r="E313" s="126" t="s">
        <v>23</v>
      </c>
      <c r="F313" s="19" t="s">
        <v>16</v>
      </c>
      <c r="G313" s="118"/>
      <c r="H313" s="19"/>
      <c r="I313" s="118" t="s">
        <v>17</v>
      </c>
      <c r="J313" s="58">
        <v>37941</v>
      </c>
      <c r="K313" s="116">
        <f t="shared" si="10"/>
        <v>312</v>
      </c>
      <c r="L313" s="19"/>
      <c r="M313" s="20"/>
    </row>
    <row r="314" s="17" customFormat="1" ht="27.75" customHeight="1" spans="1:13">
      <c r="A314" s="116">
        <f t="shared" si="9"/>
        <v>313</v>
      </c>
      <c r="B314" s="119">
        <v>1849900</v>
      </c>
      <c r="C314" s="19" t="s">
        <v>322</v>
      </c>
      <c r="D314" s="19" t="s">
        <v>18</v>
      </c>
      <c r="E314" s="126" t="s">
        <v>22</v>
      </c>
      <c r="F314" s="19" t="s">
        <v>16</v>
      </c>
      <c r="G314" s="118"/>
      <c r="H314" s="19"/>
      <c r="I314" s="118" t="s">
        <v>17</v>
      </c>
      <c r="J314" s="58">
        <v>37941</v>
      </c>
      <c r="K314" s="116">
        <f t="shared" si="10"/>
        <v>313</v>
      </c>
      <c r="L314" s="19"/>
      <c r="M314" s="20"/>
    </row>
    <row r="315" s="17" customFormat="1" ht="27.75" customHeight="1" spans="1:13">
      <c r="A315" s="116">
        <f t="shared" si="9"/>
        <v>314</v>
      </c>
      <c r="B315" s="119">
        <v>1849750</v>
      </c>
      <c r="C315" s="19" t="s">
        <v>322</v>
      </c>
      <c r="D315" s="19" t="s">
        <v>18</v>
      </c>
      <c r="E315" s="126" t="s">
        <v>21</v>
      </c>
      <c r="F315" s="19" t="s">
        <v>16</v>
      </c>
      <c r="G315" s="118"/>
      <c r="H315" s="19"/>
      <c r="I315" s="118" t="s">
        <v>20</v>
      </c>
      <c r="J315" s="58">
        <v>37941</v>
      </c>
      <c r="K315" s="116">
        <f t="shared" si="10"/>
        <v>314</v>
      </c>
      <c r="L315" s="19"/>
      <c r="M315" s="20"/>
    </row>
    <row r="316" s="17" customFormat="1" ht="27.75" customHeight="1" spans="1:13">
      <c r="A316" s="116">
        <f t="shared" si="9"/>
        <v>315</v>
      </c>
      <c r="B316" s="119">
        <f>1852000-2300</f>
        <v>1849700</v>
      </c>
      <c r="C316" s="19" t="s">
        <v>322</v>
      </c>
      <c r="D316" s="19" t="s">
        <v>18</v>
      </c>
      <c r="E316" s="124" t="s">
        <v>327</v>
      </c>
      <c r="F316" s="19" t="s">
        <v>16</v>
      </c>
      <c r="G316" s="118"/>
      <c r="H316" s="19"/>
      <c r="I316" s="118" t="s">
        <v>20</v>
      </c>
      <c r="J316" s="58">
        <v>37941</v>
      </c>
      <c r="K316" s="116">
        <f t="shared" si="10"/>
        <v>315</v>
      </c>
      <c r="L316" s="19"/>
      <c r="M316" s="20"/>
    </row>
    <row r="317" s="17" customFormat="1" ht="27.75" customHeight="1" spans="1:13">
      <c r="A317" s="116">
        <f t="shared" si="9"/>
        <v>316</v>
      </c>
      <c r="B317" s="119">
        <v>1849650</v>
      </c>
      <c r="C317" s="19" t="s">
        <v>322</v>
      </c>
      <c r="D317" s="19" t="s">
        <v>18</v>
      </c>
      <c r="E317" s="124" t="s">
        <v>328</v>
      </c>
      <c r="F317" s="19" t="s">
        <v>16</v>
      </c>
      <c r="G317" s="118"/>
      <c r="H317" s="19"/>
      <c r="I317" s="118" t="s">
        <v>20</v>
      </c>
      <c r="J317" s="58">
        <v>37941</v>
      </c>
      <c r="K317" s="116">
        <f t="shared" si="10"/>
        <v>316</v>
      </c>
      <c r="L317" s="19"/>
      <c r="M317" s="20"/>
    </row>
    <row r="318" s="17" customFormat="1" ht="21" customHeight="1" spans="1:13">
      <c r="A318" s="116">
        <f t="shared" si="9"/>
        <v>317</v>
      </c>
      <c r="B318" s="119">
        <v>1849604</v>
      </c>
      <c r="C318" s="19" t="s">
        <v>322</v>
      </c>
      <c r="D318" s="19" t="s">
        <v>18</v>
      </c>
      <c r="E318" s="124" t="s">
        <v>329</v>
      </c>
      <c r="F318" s="19" t="s">
        <v>16</v>
      </c>
      <c r="G318" s="118"/>
      <c r="H318" s="19"/>
      <c r="I318" s="118" t="s">
        <v>20</v>
      </c>
      <c r="J318" s="58">
        <v>37941</v>
      </c>
      <c r="K318" s="116">
        <f t="shared" si="10"/>
        <v>317</v>
      </c>
      <c r="L318" s="19"/>
      <c r="M318" s="20"/>
    </row>
    <row r="319" s="17" customFormat="1" ht="21" customHeight="1" spans="1:13">
      <c r="A319" s="116">
        <f t="shared" si="9"/>
        <v>318</v>
      </c>
      <c r="B319" s="119">
        <v>1849500</v>
      </c>
      <c r="C319" s="19" t="s">
        <v>322</v>
      </c>
      <c r="D319" s="19" t="s">
        <v>18</v>
      </c>
      <c r="E319" s="124" t="s">
        <v>330</v>
      </c>
      <c r="F319" s="19" t="s">
        <v>16</v>
      </c>
      <c r="G319" s="118"/>
      <c r="H319" s="19"/>
      <c r="I319" s="118" t="s">
        <v>20</v>
      </c>
      <c r="J319" s="58">
        <v>37941</v>
      </c>
      <c r="K319" s="116">
        <f t="shared" si="10"/>
        <v>318</v>
      </c>
      <c r="L319" s="19"/>
      <c r="M319" s="20"/>
    </row>
    <row r="320" s="17" customFormat="1" ht="21" customHeight="1" spans="1:13">
      <c r="A320" s="116">
        <f t="shared" si="9"/>
        <v>319</v>
      </c>
      <c r="B320" s="119">
        <v>1849300</v>
      </c>
      <c r="C320" s="19" t="s">
        <v>322</v>
      </c>
      <c r="D320" s="19" t="s">
        <v>18</v>
      </c>
      <c r="E320" s="124" t="s">
        <v>86</v>
      </c>
      <c r="F320" s="19" t="s">
        <v>16</v>
      </c>
      <c r="G320" s="118"/>
      <c r="H320" s="19"/>
      <c r="I320" s="118" t="s">
        <v>20</v>
      </c>
      <c r="J320" s="58">
        <v>37941</v>
      </c>
      <c r="K320" s="116">
        <f t="shared" si="10"/>
        <v>319</v>
      </c>
      <c r="L320" s="19"/>
      <c r="M320" s="20"/>
    </row>
    <row r="321" s="17" customFormat="1" ht="21" customHeight="1" spans="1:13">
      <c r="A321" s="116">
        <f t="shared" si="9"/>
        <v>320</v>
      </c>
      <c r="B321" s="119">
        <v>1849200</v>
      </c>
      <c r="C321" s="19" t="s">
        <v>322</v>
      </c>
      <c r="D321" s="19" t="s">
        <v>18</v>
      </c>
      <c r="E321" s="124" t="s">
        <v>331</v>
      </c>
      <c r="F321" s="19" t="s">
        <v>16</v>
      </c>
      <c r="G321" s="118"/>
      <c r="H321" s="19"/>
      <c r="I321" s="118" t="s">
        <v>20</v>
      </c>
      <c r="J321" s="58">
        <v>37941</v>
      </c>
      <c r="K321" s="116">
        <f t="shared" si="10"/>
        <v>320</v>
      </c>
      <c r="L321" s="19"/>
      <c r="M321" s="20"/>
    </row>
    <row r="322" s="17" customFormat="1" ht="21" customHeight="1" spans="1:13">
      <c r="A322" s="116">
        <f t="shared" si="9"/>
        <v>321</v>
      </c>
      <c r="B322" s="119">
        <v>1848900</v>
      </c>
      <c r="C322" s="19" t="s">
        <v>322</v>
      </c>
      <c r="D322" s="19" t="s">
        <v>18</v>
      </c>
      <c r="E322" s="124" t="s">
        <v>332</v>
      </c>
      <c r="F322" s="19" t="s">
        <v>16</v>
      </c>
      <c r="G322" s="118"/>
      <c r="H322" s="19"/>
      <c r="I322" s="118" t="s">
        <v>20</v>
      </c>
      <c r="J322" s="58">
        <v>37941</v>
      </c>
      <c r="K322" s="116">
        <f t="shared" si="10"/>
        <v>321</v>
      </c>
      <c r="L322" s="19"/>
      <c r="M322" s="20"/>
    </row>
    <row r="323" s="17" customFormat="1" ht="21" customHeight="1" spans="1:13">
      <c r="A323" s="116">
        <f t="shared" si="9"/>
        <v>322</v>
      </c>
      <c r="B323" s="119">
        <v>1848850</v>
      </c>
      <c r="C323" s="19" t="s">
        <v>322</v>
      </c>
      <c r="D323" s="19" t="s">
        <v>18</v>
      </c>
      <c r="E323" s="124" t="s">
        <v>333</v>
      </c>
      <c r="F323" s="19" t="s">
        <v>16</v>
      </c>
      <c r="G323" s="118"/>
      <c r="H323" s="19"/>
      <c r="I323" s="118" t="s">
        <v>20</v>
      </c>
      <c r="J323" s="58">
        <v>37941</v>
      </c>
      <c r="K323" s="116">
        <f t="shared" si="10"/>
        <v>322</v>
      </c>
      <c r="L323" s="19"/>
      <c r="M323" s="20"/>
    </row>
    <row r="324" s="17" customFormat="1" ht="21" customHeight="1" spans="1:13">
      <c r="A324" s="116">
        <f t="shared" ref="A324:A387" si="11">ROW(L324)-1</f>
        <v>323</v>
      </c>
      <c r="B324" s="119">
        <v>1848750</v>
      </c>
      <c r="C324" s="19" t="s">
        <v>322</v>
      </c>
      <c r="D324" s="19" t="s">
        <v>18</v>
      </c>
      <c r="E324" s="124" t="s">
        <v>334</v>
      </c>
      <c r="F324" s="19" t="s">
        <v>16</v>
      </c>
      <c r="G324" s="118"/>
      <c r="H324" s="19"/>
      <c r="I324" s="118" t="s">
        <v>38</v>
      </c>
      <c r="J324" s="58">
        <v>37941</v>
      </c>
      <c r="K324" s="116">
        <f t="shared" si="10"/>
        <v>323</v>
      </c>
      <c r="L324" s="19"/>
      <c r="M324" s="20"/>
    </row>
    <row r="325" s="17" customFormat="1" ht="21" customHeight="1" spans="1:13">
      <c r="A325" s="116">
        <f t="shared" si="11"/>
        <v>324</v>
      </c>
      <c r="B325" s="119">
        <v>1848500</v>
      </c>
      <c r="C325" s="19" t="s">
        <v>322</v>
      </c>
      <c r="D325" s="19" t="s">
        <v>82</v>
      </c>
      <c r="E325" s="124" t="s">
        <v>64</v>
      </c>
      <c r="F325" s="19" t="s">
        <v>16</v>
      </c>
      <c r="G325" s="118" t="s">
        <v>58</v>
      </c>
      <c r="H325" s="19"/>
      <c r="I325" s="118" t="s">
        <v>17</v>
      </c>
      <c r="J325" s="58">
        <v>37941</v>
      </c>
      <c r="K325" s="116">
        <f t="shared" si="10"/>
        <v>324</v>
      </c>
      <c r="L325" s="19"/>
      <c r="M325" s="20"/>
    </row>
    <row r="326" s="17" customFormat="1" ht="21" customHeight="1" spans="1:13">
      <c r="A326" s="116">
        <f t="shared" si="11"/>
        <v>325</v>
      </c>
      <c r="B326" s="119">
        <v>1848400</v>
      </c>
      <c r="C326" s="19" t="s">
        <v>322</v>
      </c>
      <c r="D326" s="19" t="s">
        <v>82</v>
      </c>
      <c r="E326" s="124" t="s">
        <v>57</v>
      </c>
      <c r="F326" s="19" t="s">
        <v>16</v>
      </c>
      <c r="G326" s="118" t="s">
        <v>58</v>
      </c>
      <c r="H326" s="19"/>
      <c r="I326" s="118" t="s">
        <v>17</v>
      </c>
      <c r="J326" s="58">
        <v>37941</v>
      </c>
      <c r="K326" s="116">
        <f t="shared" si="10"/>
        <v>325</v>
      </c>
      <c r="L326" s="19"/>
      <c r="M326" s="20"/>
    </row>
    <row r="327" s="17" customFormat="1" ht="21" customHeight="1" spans="1:13">
      <c r="A327" s="116">
        <f t="shared" si="11"/>
        <v>326</v>
      </c>
      <c r="B327" s="119">
        <v>1848150</v>
      </c>
      <c r="C327" s="19" t="s">
        <v>322</v>
      </c>
      <c r="D327" s="19" t="s">
        <v>18</v>
      </c>
      <c r="E327" s="124" t="s">
        <v>335</v>
      </c>
      <c r="F327" s="19" t="s">
        <v>16</v>
      </c>
      <c r="G327" s="118"/>
      <c r="H327" s="19"/>
      <c r="I327" s="118" t="s">
        <v>20</v>
      </c>
      <c r="J327" s="58">
        <v>37941</v>
      </c>
      <c r="K327" s="116">
        <f t="shared" si="10"/>
        <v>326</v>
      </c>
      <c r="L327" s="19"/>
      <c r="M327" s="20"/>
    </row>
    <row r="328" s="17" customFormat="1" ht="21" customHeight="1" spans="1:13">
      <c r="A328" s="116">
        <f t="shared" si="11"/>
        <v>327</v>
      </c>
      <c r="B328" s="119">
        <v>1848130</v>
      </c>
      <c r="C328" s="19" t="s">
        <v>322</v>
      </c>
      <c r="D328" s="19" t="s">
        <v>18</v>
      </c>
      <c r="E328" s="124" t="s">
        <v>336</v>
      </c>
      <c r="F328" s="19" t="s">
        <v>16</v>
      </c>
      <c r="G328" s="118"/>
      <c r="H328" s="19"/>
      <c r="I328" s="118" t="s">
        <v>20</v>
      </c>
      <c r="J328" s="58">
        <v>37941</v>
      </c>
      <c r="K328" s="116">
        <f t="shared" si="10"/>
        <v>327</v>
      </c>
      <c r="L328" s="19"/>
      <c r="M328" s="20"/>
    </row>
    <row r="329" s="17" customFormat="1" ht="24.75" customHeight="1" spans="1:13">
      <c r="A329" s="116">
        <f t="shared" si="11"/>
        <v>328</v>
      </c>
      <c r="B329" s="119">
        <v>1848100</v>
      </c>
      <c r="C329" s="19" t="s">
        <v>322</v>
      </c>
      <c r="D329" s="19" t="s">
        <v>18</v>
      </c>
      <c r="E329" s="124" t="s">
        <v>337</v>
      </c>
      <c r="F329" s="19" t="s">
        <v>16</v>
      </c>
      <c r="G329" s="118"/>
      <c r="H329" s="19"/>
      <c r="I329" s="118" t="s">
        <v>17</v>
      </c>
      <c r="J329" s="58">
        <v>37941</v>
      </c>
      <c r="K329" s="116">
        <f t="shared" si="10"/>
        <v>328</v>
      </c>
      <c r="L329" s="19"/>
      <c r="M329" s="20"/>
    </row>
    <row r="330" s="17" customFormat="1" ht="21" customHeight="1" spans="1:13">
      <c r="A330" s="116">
        <f t="shared" si="11"/>
        <v>329</v>
      </c>
      <c r="B330" s="119">
        <v>1847950</v>
      </c>
      <c r="C330" s="19" t="s">
        <v>322</v>
      </c>
      <c r="D330" s="19" t="s">
        <v>18</v>
      </c>
      <c r="E330" s="124" t="s">
        <v>338</v>
      </c>
      <c r="F330" s="19" t="s">
        <v>16</v>
      </c>
      <c r="G330" s="118"/>
      <c r="H330" s="19"/>
      <c r="I330" s="118" t="s">
        <v>20</v>
      </c>
      <c r="J330" s="58">
        <v>37941</v>
      </c>
      <c r="K330" s="116">
        <f t="shared" si="10"/>
        <v>329</v>
      </c>
      <c r="L330" s="19"/>
      <c r="M330" s="20"/>
    </row>
    <row r="331" s="17" customFormat="1" ht="21" customHeight="1" spans="1:13">
      <c r="A331" s="116">
        <f t="shared" si="11"/>
        <v>330</v>
      </c>
      <c r="B331" s="119">
        <v>1846900</v>
      </c>
      <c r="C331" s="19" t="s">
        <v>322</v>
      </c>
      <c r="D331" s="19" t="s">
        <v>18</v>
      </c>
      <c r="E331" s="124" t="s">
        <v>339</v>
      </c>
      <c r="F331" s="19" t="s">
        <v>16</v>
      </c>
      <c r="G331" s="118"/>
      <c r="H331" s="19"/>
      <c r="I331" s="118" t="s">
        <v>20</v>
      </c>
      <c r="J331" s="58">
        <v>37941</v>
      </c>
      <c r="K331" s="116">
        <f t="shared" si="10"/>
        <v>330</v>
      </c>
      <c r="L331" s="19"/>
      <c r="M331" s="20"/>
    </row>
    <row r="332" s="17" customFormat="1" ht="21" customHeight="1" spans="1:13">
      <c r="A332" s="116">
        <f t="shared" si="11"/>
        <v>331</v>
      </c>
      <c r="B332" s="119">
        <v>1846800</v>
      </c>
      <c r="C332" s="19" t="s">
        <v>322</v>
      </c>
      <c r="D332" s="19" t="s">
        <v>18</v>
      </c>
      <c r="E332" s="124" t="s">
        <v>340</v>
      </c>
      <c r="F332" s="19" t="s">
        <v>16</v>
      </c>
      <c r="G332" s="118"/>
      <c r="H332" s="19"/>
      <c r="I332" s="118" t="s">
        <v>20</v>
      </c>
      <c r="J332" s="58">
        <v>37941</v>
      </c>
      <c r="K332" s="116">
        <f t="shared" si="10"/>
        <v>331</v>
      </c>
      <c r="L332" s="19"/>
      <c r="M332" s="20"/>
    </row>
    <row r="333" s="17" customFormat="1" ht="21" customHeight="1" spans="1:13">
      <c r="A333" s="116">
        <f t="shared" si="11"/>
        <v>332</v>
      </c>
      <c r="B333" s="119">
        <v>1846780</v>
      </c>
      <c r="C333" s="19" t="s">
        <v>322</v>
      </c>
      <c r="D333" s="19" t="s">
        <v>18</v>
      </c>
      <c r="E333" s="124" t="s">
        <v>341</v>
      </c>
      <c r="F333" s="19" t="s">
        <v>16</v>
      </c>
      <c r="G333" s="118"/>
      <c r="H333" s="19"/>
      <c r="I333" s="118" t="s">
        <v>20</v>
      </c>
      <c r="J333" s="58">
        <v>37941</v>
      </c>
      <c r="K333" s="116">
        <f t="shared" si="10"/>
        <v>332</v>
      </c>
      <c r="L333" s="19"/>
      <c r="M333" s="20"/>
    </row>
    <row r="334" s="17" customFormat="1" ht="21" customHeight="1" spans="1:13">
      <c r="A334" s="116">
        <f t="shared" si="11"/>
        <v>333</v>
      </c>
      <c r="B334" s="119">
        <v>1846770</v>
      </c>
      <c r="C334" s="19" t="s">
        <v>322</v>
      </c>
      <c r="D334" s="19" t="s">
        <v>18</v>
      </c>
      <c r="E334" s="124" t="s">
        <v>342</v>
      </c>
      <c r="F334" s="19" t="s">
        <v>16</v>
      </c>
      <c r="G334" s="118"/>
      <c r="H334" s="19"/>
      <c r="I334" s="118" t="s">
        <v>20</v>
      </c>
      <c r="J334" s="58">
        <v>37941</v>
      </c>
      <c r="K334" s="116">
        <f t="shared" si="10"/>
        <v>333</v>
      </c>
      <c r="L334" s="19"/>
      <c r="M334" s="20"/>
    </row>
    <row r="335" s="17" customFormat="1" ht="21" customHeight="1" spans="1:13">
      <c r="A335" s="116">
        <f t="shared" si="11"/>
        <v>334</v>
      </c>
      <c r="B335" s="119">
        <v>1846700</v>
      </c>
      <c r="C335" s="19" t="s">
        <v>322</v>
      </c>
      <c r="D335" s="19" t="s">
        <v>18</v>
      </c>
      <c r="E335" s="124" t="s">
        <v>343</v>
      </c>
      <c r="F335" s="19" t="s">
        <v>16</v>
      </c>
      <c r="G335" s="118"/>
      <c r="H335" s="19"/>
      <c r="I335" s="118" t="s">
        <v>17</v>
      </c>
      <c r="J335" s="58">
        <v>37941</v>
      </c>
      <c r="K335" s="116">
        <f t="shared" si="10"/>
        <v>334</v>
      </c>
      <c r="L335" s="19"/>
      <c r="M335" s="20"/>
    </row>
    <row r="336" s="17" customFormat="1" ht="21" customHeight="1" spans="1:13">
      <c r="A336" s="116">
        <f t="shared" si="11"/>
        <v>335</v>
      </c>
      <c r="B336" s="119">
        <v>1846700</v>
      </c>
      <c r="C336" s="19" t="s">
        <v>322</v>
      </c>
      <c r="D336" s="19" t="s">
        <v>18</v>
      </c>
      <c r="E336" s="124" t="s">
        <v>344</v>
      </c>
      <c r="F336" s="19" t="s">
        <v>16</v>
      </c>
      <c r="G336" s="118"/>
      <c r="H336" s="19"/>
      <c r="I336" s="118" t="s">
        <v>20</v>
      </c>
      <c r="J336" s="58">
        <v>37941</v>
      </c>
      <c r="K336" s="116">
        <f t="shared" si="10"/>
        <v>335</v>
      </c>
      <c r="L336" s="19"/>
      <c r="M336" s="20"/>
    </row>
    <row r="337" s="17" customFormat="1" ht="21" customHeight="1" spans="1:13">
      <c r="A337" s="116">
        <f t="shared" si="11"/>
        <v>336</v>
      </c>
      <c r="B337" s="119">
        <v>1846500</v>
      </c>
      <c r="C337" s="19" t="s">
        <v>322</v>
      </c>
      <c r="D337" s="19" t="s">
        <v>18</v>
      </c>
      <c r="E337" s="124" t="s">
        <v>315</v>
      </c>
      <c r="F337" s="19" t="s">
        <v>16</v>
      </c>
      <c r="G337" s="118"/>
      <c r="H337" s="19"/>
      <c r="I337" s="118" t="s">
        <v>20</v>
      </c>
      <c r="J337" s="58">
        <v>37941</v>
      </c>
      <c r="K337" s="116">
        <f t="shared" si="10"/>
        <v>336</v>
      </c>
      <c r="L337" s="19"/>
      <c r="M337" s="20"/>
    </row>
    <row r="338" s="17" customFormat="1" ht="21" customHeight="1" spans="1:13">
      <c r="A338" s="116">
        <f t="shared" si="11"/>
        <v>337</v>
      </c>
      <c r="B338" s="119">
        <v>1846450</v>
      </c>
      <c r="C338" s="19" t="s">
        <v>322</v>
      </c>
      <c r="D338" s="19" t="s">
        <v>18</v>
      </c>
      <c r="E338" s="124" t="s">
        <v>317</v>
      </c>
      <c r="F338" s="19" t="s">
        <v>16</v>
      </c>
      <c r="G338" s="118"/>
      <c r="H338" s="19"/>
      <c r="I338" s="118" t="s">
        <v>20</v>
      </c>
      <c r="J338" s="58">
        <v>37941</v>
      </c>
      <c r="K338" s="116">
        <f t="shared" si="10"/>
        <v>337</v>
      </c>
      <c r="L338" s="19"/>
      <c r="M338" s="20"/>
    </row>
    <row r="339" s="17" customFormat="1" ht="21" customHeight="1" spans="1:13">
      <c r="A339" s="116">
        <f t="shared" si="11"/>
        <v>338</v>
      </c>
      <c r="B339" s="119" t="s">
        <v>345</v>
      </c>
      <c r="C339" s="19" t="s">
        <v>322</v>
      </c>
      <c r="D339" s="19" t="s">
        <v>18</v>
      </c>
      <c r="E339" s="124" t="s">
        <v>346</v>
      </c>
      <c r="F339" s="19" t="s">
        <v>16</v>
      </c>
      <c r="G339" s="118" t="s">
        <v>347</v>
      </c>
      <c r="H339" s="19"/>
      <c r="I339" s="118" t="s">
        <v>304</v>
      </c>
      <c r="J339" s="58">
        <v>37941</v>
      </c>
      <c r="K339" s="116">
        <f t="shared" si="10"/>
        <v>338</v>
      </c>
      <c r="L339" s="19"/>
      <c r="M339" s="20"/>
    </row>
    <row r="340" s="17" customFormat="1" ht="21" customHeight="1" spans="1:13">
      <c r="A340" s="116">
        <f t="shared" si="11"/>
        <v>339</v>
      </c>
      <c r="B340" s="119" t="s">
        <v>348</v>
      </c>
      <c r="C340" s="19" t="s">
        <v>322</v>
      </c>
      <c r="D340" s="19" t="s">
        <v>18</v>
      </c>
      <c r="E340" s="124" t="s">
        <v>349</v>
      </c>
      <c r="F340" s="19" t="s">
        <v>16</v>
      </c>
      <c r="G340" s="118" t="s">
        <v>350</v>
      </c>
      <c r="H340" s="19"/>
      <c r="I340" s="118" t="s">
        <v>36</v>
      </c>
      <c r="J340" s="58">
        <v>37941</v>
      </c>
      <c r="K340" s="116">
        <f t="shared" si="10"/>
        <v>339</v>
      </c>
      <c r="L340" s="19"/>
      <c r="M340" s="20"/>
    </row>
    <row r="341" s="17" customFormat="1" ht="21" customHeight="1" spans="1:13">
      <c r="A341" s="116">
        <f t="shared" si="11"/>
        <v>340</v>
      </c>
      <c r="B341" s="119" t="s">
        <v>351</v>
      </c>
      <c r="C341" s="19" t="s">
        <v>322</v>
      </c>
      <c r="D341" s="19" t="s">
        <v>18</v>
      </c>
      <c r="E341" s="124" t="s">
        <v>306</v>
      </c>
      <c r="F341" s="19" t="s">
        <v>16</v>
      </c>
      <c r="G341" s="118" t="s">
        <v>352</v>
      </c>
      <c r="H341" s="19"/>
      <c r="I341" s="118" t="s">
        <v>20</v>
      </c>
      <c r="J341" s="58">
        <v>37941</v>
      </c>
      <c r="K341" s="116">
        <f t="shared" si="10"/>
        <v>340</v>
      </c>
      <c r="L341" s="19"/>
      <c r="M341" s="20"/>
    </row>
    <row r="342" s="17" customFormat="1" ht="21" customHeight="1" spans="1:13">
      <c r="A342" s="116">
        <f t="shared" si="11"/>
        <v>341</v>
      </c>
      <c r="B342" s="119" t="s">
        <v>353</v>
      </c>
      <c r="C342" s="19" t="s">
        <v>322</v>
      </c>
      <c r="D342" s="19" t="s">
        <v>18</v>
      </c>
      <c r="E342" s="124" t="s">
        <v>78</v>
      </c>
      <c r="F342" s="19" t="s">
        <v>16</v>
      </c>
      <c r="G342" s="118"/>
      <c r="H342" s="19"/>
      <c r="I342" s="118" t="s">
        <v>36</v>
      </c>
      <c r="J342" s="58">
        <v>37941</v>
      </c>
      <c r="K342" s="116">
        <f t="shared" si="10"/>
        <v>341</v>
      </c>
      <c r="L342" s="19"/>
      <c r="M342" s="20"/>
    </row>
    <row r="343" s="17" customFormat="1" ht="21" customHeight="1" spans="1:13">
      <c r="A343" s="116">
        <f t="shared" si="11"/>
        <v>342</v>
      </c>
      <c r="B343" s="119" t="s">
        <v>354</v>
      </c>
      <c r="C343" s="19" t="s">
        <v>322</v>
      </c>
      <c r="D343" s="19" t="s">
        <v>18</v>
      </c>
      <c r="E343" s="124" t="s">
        <v>355</v>
      </c>
      <c r="F343" s="19" t="s">
        <v>16</v>
      </c>
      <c r="G343" s="118" t="s">
        <v>56</v>
      </c>
      <c r="H343" s="19"/>
      <c r="I343" s="118" t="s">
        <v>20</v>
      </c>
      <c r="J343" s="58">
        <v>37941</v>
      </c>
      <c r="K343" s="116">
        <f t="shared" si="10"/>
        <v>342</v>
      </c>
      <c r="L343" s="19"/>
      <c r="M343" s="20"/>
    </row>
    <row r="344" s="17" customFormat="1" ht="21" customHeight="1" spans="1:13">
      <c r="A344" s="116">
        <f t="shared" si="11"/>
        <v>343</v>
      </c>
      <c r="B344" s="119" t="s">
        <v>356</v>
      </c>
      <c r="C344" s="19" t="s">
        <v>322</v>
      </c>
      <c r="D344" s="19" t="s">
        <v>82</v>
      </c>
      <c r="E344" s="124" t="s">
        <v>64</v>
      </c>
      <c r="F344" s="19" t="s">
        <v>65</v>
      </c>
      <c r="G344" s="118" t="s">
        <v>58</v>
      </c>
      <c r="H344" s="19"/>
      <c r="I344" s="118" t="s">
        <v>17</v>
      </c>
      <c r="J344" s="58">
        <v>37941</v>
      </c>
      <c r="K344" s="116">
        <f t="shared" si="10"/>
        <v>343</v>
      </c>
      <c r="L344" s="19"/>
      <c r="M344" s="20"/>
    </row>
    <row r="345" s="17" customFormat="1" ht="21" customHeight="1" spans="1:13">
      <c r="A345" s="116">
        <f t="shared" si="11"/>
        <v>344</v>
      </c>
      <c r="B345" s="119" t="s">
        <v>357</v>
      </c>
      <c r="C345" s="19" t="s">
        <v>322</v>
      </c>
      <c r="D345" s="19" t="s">
        <v>82</v>
      </c>
      <c r="E345" s="124" t="s">
        <v>57</v>
      </c>
      <c r="F345" s="19" t="s">
        <v>65</v>
      </c>
      <c r="G345" s="118" t="s">
        <v>58</v>
      </c>
      <c r="H345" s="19"/>
      <c r="I345" s="118" t="s">
        <v>17</v>
      </c>
      <c r="J345" s="58">
        <v>37941</v>
      </c>
      <c r="K345" s="116">
        <f t="shared" si="10"/>
        <v>344</v>
      </c>
      <c r="L345" s="19"/>
      <c r="M345" s="20"/>
    </row>
    <row r="346" s="17" customFormat="1" ht="21" customHeight="1" spans="1:13">
      <c r="A346" s="116">
        <f t="shared" si="11"/>
        <v>345</v>
      </c>
      <c r="B346" s="119" t="s">
        <v>358</v>
      </c>
      <c r="C346" s="19" t="s">
        <v>322</v>
      </c>
      <c r="D346" s="19" t="s">
        <v>18</v>
      </c>
      <c r="E346" s="124" t="s">
        <v>359</v>
      </c>
      <c r="F346" s="19" t="s">
        <v>16</v>
      </c>
      <c r="G346" s="118" t="s">
        <v>56</v>
      </c>
      <c r="H346" s="19"/>
      <c r="I346" s="118" t="s">
        <v>20</v>
      </c>
      <c r="J346" s="58">
        <v>37941</v>
      </c>
      <c r="K346" s="116">
        <f t="shared" si="10"/>
        <v>345</v>
      </c>
      <c r="L346" s="19"/>
      <c r="M346" s="20"/>
    </row>
    <row r="347" s="17" customFormat="1" ht="21" customHeight="1" spans="1:13">
      <c r="A347" s="116">
        <f t="shared" si="11"/>
        <v>346</v>
      </c>
      <c r="B347" s="119" t="s">
        <v>360</v>
      </c>
      <c r="C347" s="19" t="s">
        <v>322</v>
      </c>
      <c r="D347" s="19" t="s">
        <v>18</v>
      </c>
      <c r="E347" s="124" t="s">
        <v>361</v>
      </c>
      <c r="F347" s="19" t="s">
        <v>16</v>
      </c>
      <c r="G347" s="118"/>
      <c r="H347" s="19"/>
      <c r="I347" s="118"/>
      <c r="J347" s="58">
        <v>37941</v>
      </c>
      <c r="K347" s="116">
        <f t="shared" si="10"/>
        <v>346</v>
      </c>
      <c r="L347" s="19"/>
      <c r="M347" s="20"/>
    </row>
    <row r="348" s="17" customFormat="1" ht="21" customHeight="1" spans="1:13">
      <c r="A348" s="116">
        <f t="shared" si="11"/>
        <v>347</v>
      </c>
      <c r="B348" s="119" t="s">
        <v>362</v>
      </c>
      <c r="C348" s="19" t="s">
        <v>322</v>
      </c>
      <c r="D348" s="19" t="s">
        <v>18</v>
      </c>
      <c r="E348" s="124" t="s">
        <v>87</v>
      </c>
      <c r="F348" s="19" t="s">
        <v>16</v>
      </c>
      <c r="G348" s="118" t="s">
        <v>363</v>
      </c>
      <c r="H348" s="19"/>
      <c r="I348" s="118" t="s">
        <v>20</v>
      </c>
      <c r="J348" s="58">
        <v>37941</v>
      </c>
      <c r="K348" s="116">
        <f t="shared" si="10"/>
        <v>347</v>
      </c>
      <c r="L348" s="19"/>
      <c r="M348" s="20"/>
    </row>
    <row r="349" s="17" customFormat="1" ht="21" customHeight="1" spans="1:13">
      <c r="A349" s="116">
        <f t="shared" si="11"/>
        <v>348</v>
      </c>
      <c r="B349" s="119" t="s">
        <v>364</v>
      </c>
      <c r="C349" s="19" t="s">
        <v>322</v>
      </c>
      <c r="D349" s="19" t="s">
        <v>18</v>
      </c>
      <c r="E349" s="124" t="s">
        <v>87</v>
      </c>
      <c r="F349" s="19" t="s">
        <v>16</v>
      </c>
      <c r="G349" s="118" t="s">
        <v>363</v>
      </c>
      <c r="H349" s="19"/>
      <c r="I349" s="118" t="s">
        <v>20</v>
      </c>
      <c r="J349" s="58">
        <v>37941</v>
      </c>
      <c r="K349" s="116">
        <f t="shared" si="10"/>
        <v>348</v>
      </c>
      <c r="L349" s="19"/>
      <c r="M349" s="20"/>
    </row>
    <row r="350" s="17" customFormat="1" ht="21" customHeight="1" spans="1:13">
      <c r="A350" s="116">
        <f t="shared" si="11"/>
        <v>349</v>
      </c>
      <c r="B350" s="119" t="s">
        <v>365</v>
      </c>
      <c r="C350" s="19" t="s">
        <v>322</v>
      </c>
      <c r="D350" s="19" t="s">
        <v>18</v>
      </c>
      <c r="E350" s="124" t="s">
        <v>366</v>
      </c>
      <c r="F350" s="19" t="s">
        <v>16</v>
      </c>
      <c r="G350" s="118"/>
      <c r="H350" s="19"/>
      <c r="I350" s="118" t="s">
        <v>20</v>
      </c>
      <c r="J350" s="58">
        <v>37941</v>
      </c>
      <c r="K350" s="116">
        <f t="shared" si="10"/>
        <v>349</v>
      </c>
      <c r="L350" s="19"/>
      <c r="M350" s="20"/>
    </row>
    <row r="351" s="17" customFormat="1" ht="21" customHeight="1" spans="1:13">
      <c r="A351" s="116">
        <f t="shared" si="11"/>
        <v>350</v>
      </c>
      <c r="B351" s="119" t="s">
        <v>367</v>
      </c>
      <c r="C351" s="19" t="s">
        <v>322</v>
      </c>
      <c r="D351" s="19" t="s">
        <v>18</v>
      </c>
      <c r="E351" s="124" t="s">
        <v>368</v>
      </c>
      <c r="F351" s="19" t="s">
        <v>16</v>
      </c>
      <c r="G351" s="118"/>
      <c r="H351" s="19"/>
      <c r="I351" s="118" t="s">
        <v>38</v>
      </c>
      <c r="J351" s="58">
        <v>37941</v>
      </c>
      <c r="K351" s="116">
        <f t="shared" si="10"/>
        <v>350</v>
      </c>
      <c r="L351" s="19"/>
      <c r="M351" s="20"/>
    </row>
    <row r="352" s="17" customFormat="1" ht="21" customHeight="1" spans="1:13">
      <c r="A352" s="116">
        <f t="shared" si="11"/>
        <v>351</v>
      </c>
      <c r="B352" s="119" t="s">
        <v>369</v>
      </c>
      <c r="C352" s="19" t="s">
        <v>322</v>
      </c>
      <c r="D352" s="19" t="s">
        <v>18</v>
      </c>
      <c r="E352" s="124" t="s">
        <v>86</v>
      </c>
      <c r="F352" s="19" t="s">
        <v>16</v>
      </c>
      <c r="G352" s="118"/>
      <c r="H352" s="19"/>
      <c r="I352" s="118" t="s">
        <v>20</v>
      </c>
      <c r="J352" s="58">
        <v>37941</v>
      </c>
      <c r="K352" s="116">
        <f t="shared" si="10"/>
        <v>351</v>
      </c>
      <c r="L352" s="19"/>
      <c r="M352" s="20"/>
    </row>
    <row r="353" s="17" customFormat="1" ht="21" customHeight="1" spans="1:13">
      <c r="A353" s="116">
        <f t="shared" si="11"/>
        <v>352</v>
      </c>
      <c r="B353" s="119" t="s">
        <v>370</v>
      </c>
      <c r="C353" s="19" t="s">
        <v>322</v>
      </c>
      <c r="D353" s="19" t="s">
        <v>18</v>
      </c>
      <c r="E353" s="124" t="s">
        <v>371</v>
      </c>
      <c r="F353" s="19" t="s">
        <v>16</v>
      </c>
      <c r="G353" s="118" t="s">
        <v>363</v>
      </c>
      <c r="H353" s="19"/>
      <c r="I353" s="118" t="s">
        <v>20</v>
      </c>
      <c r="J353" s="58">
        <v>37941</v>
      </c>
      <c r="K353" s="116">
        <f t="shared" si="10"/>
        <v>352</v>
      </c>
      <c r="L353" s="19"/>
      <c r="M353" s="20"/>
    </row>
    <row r="354" s="17" customFormat="1" ht="21" customHeight="1" spans="1:13">
      <c r="A354" s="116">
        <f t="shared" si="11"/>
        <v>353</v>
      </c>
      <c r="B354" s="119" t="s">
        <v>372</v>
      </c>
      <c r="C354" s="19" t="s">
        <v>322</v>
      </c>
      <c r="D354" s="19" t="s">
        <v>18</v>
      </c>
      <c r="E354" s="124" t="s">
        <v>100</v>
      </c>
      <c r="F354" s="19" t="s">
        <v>16</v>
      </c>
      <c r="G354" s="118" t="s">
        <v>373</v>
      </c>
      <c r="H354" s="19"/>
      <c r="I354" s="118" t="s">
        <v>36</v>
      </c>
      <c r="J354" s="58">
        <v>37941</v>
      </c>
      <c r="K354" s="116">
        <f t="shared" si="10"/>
        <v>353</v>
      </c>
      <c r="L354" s="19"/>
      <c r="M354" s="20"/>
    </row>
    <row r="355" s="17" customFormat="1" ht="21" customHeight="1" spans="1:13">
      <c r="A355" s="116">
        <f t="shared" si="11"/>
        <v>354</v>
      </c>
      <c r="B355" s="119" t="s">
        <v>374</v>
      </c>
      <c r="C355" s="19" t="s">
        <v>322</v>
      </c>
      <c r="D355" s="19" t="s">
        <v>18</v>
      </c>
      <c r="E355" s="124" t="s">
        <v>375</v>
      </c>
      <c r="F355" s="19" t="s">
        <v>16</v>
      </c>
      <c r="G355" s="118" t="s">
        <v>363</v>
      </c>
      <c r="H355" s="19"/>
      <c r="I355" s="118" t="s">
        <v>20</v>
      </c>
      <c r="J355" s="58">
        <v>37941</v>
      </c>
      <c r="K355" s="116">
        <f t="shared" si="10"/>
        <v>354</v>
      </c>
      <c r="L355" s="19"/>
      <c r="M355" s="20"/>
    </row>
    <row r="356" s="17" customFormat="1" ht="21" customHeight="1" spans="1:13">
      <c r="A356" s="116">
        <f t="shared" si="11"/>
        <v>355</v>
      </c>
      <c r="B356" s="119" t="s">
        <v>376</v>
      </c>
      <c r="C356" s="19" t="s">
        <v>322</v>
      </c>
      <c r="D356" s="19" t="s">
        <v>18</v>
      </c>
      <c r="E356" s="124" t="s">
        <v>377</v>
      </c>
      <c r="F356" s="19" t="s">
        <v>16</v>
      </c>
      <c r="G356" s="118" t="s">
        <v>363</v>
      </c>
      <c r="H356" s="19"/>
      <c r="I356" s="118" t="s">
        <v>20</v>
      </c>
      <c r="J356" s="58">
        <v>37941</v>
      </c>
      <c r="K356" s="116">
        <f t="shared" si="10"/>
        <v>355</v>
      </c>
      <c r="L356" s="19"/>
      <c r="M356" s="20"/>
    </row>
    <row r="357" s="17" customFormat="1" ht="21" customHeight="1" spans="1:13">
      <c r="A357" s="116">
        <f t="shared" si="11"/>
        <v>356</v>
      </c>
      <c r="B357" s="119" t="s">
        <v>378</v>
      </c>
      <c r="C357" s="19" t="s">
        <v>322</v>
      </c>
      <c r="D357" s="19" t="s">
        <v>18</v>
      </c>
      <c r="E357" s="124" t="s">
        <v>379</v>
      </c>
      <c r="F357" s="19" t="s">
        <v>16</v>
      </c>
      <c r="G357" s="118" t="s">
        <v>380</v>
      </c>
      <c r="H357" s="19"/>
      <c r="I357" s="118" t="s">
        <v>81</v>
      </c>
      <c r="J357" s="58">
        <v>37941</v>
      </c>
      <c r="K357" s="116">
        <f t="shared" si="10"/>
        <v>356</v>
      </c>
      <c r="L357" s="19"/>
      <c r="M357" s="20"/>
    </row>
    <row r="358" s="17" customFormat="1" ht="21" customHeight="1" spans="1:13">
      <c r="A358" s="116">
        <f t="shared" si="11"/>
        <v>357</v>
      </c>
      <c r="B358" s="119" t="s">
        <v>381</v>
      </c>
      <c r="C358" s="19" t="s">
        <v>322</v>
      </c>
      <c r="D358" s="19" t="s">
        <v>18</v>
      </c>
      <c r="E358" s="124" t="s">
        <v>382</v>
      </c>
      <c r="F358" s="19" t="s">
        <v>16</v>
      </c>
      <c r="G358" s="118" t="s">
        <v>219</v>
      </c>
      <c r="H358" s="19"/>
      <c r="I358" s="118" t="s">
        <v>36</v>
      </c>
      <c r="J358" s="58">
        <v>37941</v>
      </c>
      <c r="K358" s="116">
        <f t="shared" si="10"/>
        <v>357</v>
      </c>
      <c r="L358" s="19"/>
      <c r="M358" s="20"/>
    </row>
    <row r="359" s="17" customFormat="1" ht="21" customHeight="1" spans="1:13">
      <c r="A359" s="116">
        <f t="shared" si="11"/>
        <v>358</v>
      </c>
      <c r="B359" s="119">
        <v>1838800</v>
      </c>
      <c r="C359" s="19" t="s">
        <v>322</v>
      </c>
      <c r="D359" s="19" t="s">
        <v>82</v>
      </c>
      <c r="E359" s="124" t="s">
        <v>64</v>
      </c>
      <c r="F359" s="19" t="s">
        <v>65</v>
      </c>
      <c r="G359" s="118" t="s">
        <v>58</v>
      </c>
      <c r="H359" s="19"/>
      <c r="I359" s="118" t="s">
        <v>17</v>
      </c>
      <c r="J359" s="58">
        <v>37941</v>
      </c>
      <c r="K359" s="116">
        <f t="shared" si="10"/>
        <v>358</v>
      </c>
      <c r="L359" s="19"/>
      <c r="M359" s="20"/>
    </row>
    <row r="360" s="17" customFormat="1" ht="21" customHeight="1" spans="1:13">
      <c r="A360" s="116">
        <f t="shared" si="11"/>
        <v>359</v>
      </c>
      <c r="B360" s="119">
        <v>1838700</v>
      </c>
      <c r="C360" s="19" t="s">
        <v>322</v>
      </c>
      <c r="D360" s="19" t="s">
        <v>82</v>
      </c>
      <c r="E360" s="124" t="s">
        <v>57</v>
      </c>
      <c r="F360" s="19" t="s">
        <v>65</v>
      </c>
      <c r="G360" s="118" t="s">
        <v>58</v>
      </c>
      <c r="H360" s="19"/>
      <c r="I360" s="118" t="s">
        <v>17</v>
      </c>
      <c r="J360" s="58">
        <v>37941</v>
      </c>
      <c r="K360" s="116">
        <f t="shared" si="10"/>
        <v>359</v>
      </c>
      <c r="L360" s="19"/>
      <c r="M360" s="20"/>
    </row>
    <row r="361" s="17" customFormat="1" ht="21" customHeight="1" spans="1:13">
      <c r="A361" s="116">
        <f t="shared" si="11"/>
        <v>360</v>
      </c>
      <c r="B361" s="119" t="s">
        <v>383</v>
      </c>
      <c r="C361" s="19" t="s">
        <v>322</v>
      </c>
      <c r="D361" s="19" t="s">
        <v>18</v>
      </c>
      <c r="E361" s="124" t="s">
        <v>163</v>
      </c>
      <c r="F361" s="19" t="s">
        <v>16</v>
      </c>
      <c r="G361" s="118" t="s">
        <v>352</v>
      </c>
      <c r="H361" s="19"/>
      <c r="I361" s="118" t="s">
        <v>20</v>
      </c>
      <c r="J361" s="58">
        <v>37941</v>
      </c>
      <c r="K361" s="116">
        <f t="shared" si="10"/>
        <v>360</v>
      </c>
      <c r="L361" s="19"/>
      <c r="M361" s="20"/>
    </row>
    <row r="362" s="17" customFormat="1" ht="21" customHeight="1" spans="1:13">
      <c r="A362" s="116">
        <f t="shared" si="11"/>
        <v>361</v>
      </c>
      <c r="B362" s="119" t="s">
        <v>384</v>
      </c>
      <c r="C362" s="19" t="s">
        <v>322</v>
      </c>
      <c r="D362" s="19" t="s">
        <v>18</v>
      </c>
      <c r="E362" s="124" t="s">
        <v>385</v>
      </c>
      <c r="F362" s="19" t="s">
        <v>16</v>
      </c>
      <c r="G362" s="118" t="s">
        <v>386</v>
      </c>
      <c r="H362" s="19"/>
      <c r="I362" s="118" t="s">
        <v>17</v>
      </c>
      <c r="J362" s="58">
        <v>37941</v>
      </c>
      <c r="K362" s="116">
        <f t="shared" si="10"/>
        <v>361</v>
      </c>
      <c r="L362" s="19"/>
      <c r="M362" s="20"/>
    </row>
    <row r="363" s="17" customFormat="1" ht="21" customHeight="1" spans="1:13">
      <c r="A363" s="116">
        <f t="shared" si="11"/>
        <v>362</v>
      </c>
      <c r="B363" s="119" t="s">
        <v>387</v>
      </c>
      <c r="C363" s="19" t="s">
        <v>322</v>
      </c>
      <c r="D363" s="19" t="s">
        <v>18</v>
      </c>
      <c r="E363" s="124" t="s">
        <v>388</v>
      </c>
      <c r="F363" s="19" t="s">
        <v>16</v>
      </c>
      <c r="G363" s="118"/>
      <c r="H363" s="19"/>
      <c r="I363" s="118" t="s">
        <v>36</v>
      </c>
      <c r="J363" s="58">
        <v>37941</v>
      </c>
      <c r="K363" s="116">
        <f t="shared" si="10"/>
        <v>362</v>
      </c>
      <c r="L363" s="19"/>
      <c r="M363" s="20"/>
    </row>
    <row r="364" s="17" customFormat="1" ht="21" customHeight="1" spans="1:13">
      <c r="A364" s="116">
        <f t="shared" si="11"/>
        <v>363</v>
      </c>
      <c r="B364" s="119" t="s">
        <v>389</v>
      </c>
      <c r="C364" s="19" t="s">
        <v>322</v>
      </c>
      <c r="D364" s="19" t="s">
        <v>82</v>
      </c>
      <c r="E364" s="124" t="s">
        <v>111</v>
      </c>
      <c r="F364" s="19" t="s">
        <v>65</v>
      </c>
      <c r="G364" s="118" t="s">
        <v>40</v>
      </c>
      <c r="H364" s="19"/>
      <c r="I364" s="118" t="s">
        <v>17</v>
      </c>
      <c r="J364" s="58">
        <v>37941</v>
      </c>
      <c r="K364" s="116">
        <f t="shared" si="10"/>
        <v>363</v>
      </c>
      <c r="L364" s="19"/>
      <c r="M364" s="20"/>
    </row>
    <row r="365" s="17" customFormat="1" ht="21" customHeight="1" spans="1:13">
      <c r="A365" s="116">
        <f t="shared" si="11"/>
        <v>364</v>
      </c>
      <c r="B365" s="119" t="s">
        <v>390</v>
      </c>
      <c r="C365" s="19" t="s">
        <v>322</v>
      </c>
      <c r="D365" s="19" t="s">
        <v>82</v>
      </c>
      <c r="E365" s="124" t="s">
        <v>109</v>
      </c>
      <c r="F365" s="19" t="s">
        <v>65</v>
      </c>
      <c r="G365" s="118" t="s">
        <v>40</v>
      </c>
      <c r="H365" s="19"/>
      <c r="I365" s="118" t="s">
        <v>17</v>
      </c>
      <c r="J365" s="58">
        <v>37941</v>
      </c>
      <c r="K365" s="116">
        <f t="shared" si="10"/>
        <v>364</v>
      </c>
      <c r="L365" s="19"/>
      <c r="M365" s="20"/>
    </row>
    <row r="366" s="17" customFormat="1" ht="21" customHeight="1" spans="1:13">
      <c r="A366" s="116">
        <f t="shared" si="11"/>
        <v>365</v>
      </c>
      <c r="B366" s="119" t="s">
        <v>391</v>
      </c>
      <c r="C366" s="19" t="s">
        <v>322</v>
      </c>
      <c r="D366" s="19" t="s">
        <v>18</v>
      </c>
      <c r="E366" s="124" t="s">
        <v>392</v>
      </c>
      <c r="F366" s="19" t="s">
        <v>16</v>
      </c>
      <c r="G366" s="118"/>
      <c r="H366" s="19"/>
      <c r="I366" s="118" t="s">
        <v>20</v>
      </c>
      <c r="J366" s="58">
        <v>37941</v>
      </c>
      <c r="K366" s="116">
        <f t="shared" si="10"/>
        <v>365</v>
      </c>
      <c r="L366" s="19"/>
      <c r="M366" s="20"/>
    </row>
    <row r="367" s="17" customFormat="1" ht="21" customHeight="1" spans="1:13">
      <c r="A367" s="116">
        <f t="shared" si="11"/>
        <v>366</v>
      </c>
      <c r="B367" s="119" t="s">
        <v>393</v>
      </c>
      <c r="C367" s="19" t="s">
        <v>322</v>
      </c>
      <c r="D367" s="19" t="s">
        <v>18</v>
      </c>
      <c r="E367" s="124" t="s">
        <v>385</v>
      </c>
      <c r="F367" s="19" t="s">
        <v>16</v>
      </c>
      <c r="G367" s="118" t="s">
        <v>386</v>
      </c>
      <c r="H367" s="19"/>
      <c r="I367" s="118" t="s">
        <v>17</v>
      </c>
      <c r="J367" s="58">
        <v>37941</v>
      </c>
      <c r="K367" s="116">
        <f t="shared" si="10"/>
        <v>366</v>
      </c>
      <c r="L367" s="19"/>
      <c r="M367" s="20"/>
    </row>
    <row r="368" s="17" customFormat="1" ht="21" customHeight="1" spans="1:13">
      <c r="A368" s="116">
        <f t="shared" si="11"/>
        <v>367</v>
      </c>
      <c r="B368" s="119" t="s">
        <v>394</v>
      </c>
      <c r="C368" s="19" t="s">
        <v>322</v>
      </c>
      <c r="D368" s="19" t="s">
        <v>18</v>
      </c>
      <c r="E368" s="124" t="s">
        <v>395</v>
      </c>
      <c r="F368" s="19" t="s">
        <v>16</v>
      </c>
      <c r="G368" s="118" t="s">
        <v>396</v>
      </c>
      <c r="H368" s="19"/>
      <c r="I368" s="118" t="s">
        <v>36</v>
      </c>
      <c r="J368" s="58">
        <v>37941</v>
      </c>
      <c r="K368" s="116">
        <f t="shared" si="10"/>
        <v>367</v>
      </c>
      <c r="L368" s="19"/>
      <c r="M368" s="20"/>
    </row>
    <row r="369" s="17" customFormat="1" ht="21" customHeight="1" spans="1:13">
      <c r="A369" s="116">
        <f t="shared" si="11"/>
        <v>368</v>
      </c>
      <c r="B369" s="119" t="s">
        <v>397</v>
      </c>
      <c r="C369" s="19" t="s">
        <v>322</v>
      </c>
      <c r="D369" s="19" t="s">
        <v>18</v>
      </c>
      <c r="E369" s="124" t="s">
        <v>398</v>
      </c>
      <c r="F369" s="19" t="s">
        <v>16</v>
      </c>
      <c r="G369" s="118" t="s">
        <v>399</v>
      </c>
      <c r="H369" s="19"/>
      <c r="I369" s="118" t="s">
        <v>36</v>
      </c>
      <c r="J369" s="58">
        <v>37941</v>
      </c>
      <c r="K369" s="116">
        <f t="shared" si="10"/>
        <v>368</v>
      </c>
      <c r="L369" s="19"/>
      <c r="M369" s="20"/>
    </row>
    <row r="370" s="17" customFormat="1" ht="21" customHeight="1" spans="1:13">
      <c r="A370" s="116">
        <f t="shared" si="11"/>
        <v>369</v>
      </c>
      <c r="B370" s="119" t="s">
        <v>400</v>
      </c>
      <c r="C370" s="19" t="s">
        <v>322</v>
      </c>
      <c r="D370" s="19" t="s">
        <v>18</v>
      </c>
      <c r="E370" s="124" t="s">
        <v>91</v>
      </c>
      <c r="F370" s="19" t="s">
        <v>216</v>
      </c>
      <c r="G370" s="118" t="s">
        <v>217</v>
      </c>
      <c r="H370" s="19"/>
      <c r="I370" s="118" t="s">
        <v>17</v>
      </c>
      <c r="J370" s="58">
        <v>37941</v>
      </c>
      <c r="K370" s="116">
        <f t="shared" si="10"/>
        <v>369</v>
      </c>
      <c r="L370" s="19"/>
      <c r="M370" s="20"/>
    </row>
    <row r="371" s="17" customFormat="1" ht="21" customHeight="1" spans="1:13">
      <c r="A371" s="116">
        <f t="shared" si="11"/>
        <v>370</v>
      </c>
      <c r="B371" s="119" t="s">
        <v>401</v>
      </c>
      <c r="C371" s="19" t="s">
        <v>322</v>
      </c>
      <c r="D371" s="19" t="s">
        <v>18</v>
      </c>
      <c r="E371" s="124" t="s">
        <v>104</v>
      </c>
      <c r="F371" s="19" t="s">
        <v>16</v>
      </c>
      <c r="G371" s="118"/>
      <c r="H371" s="19"/>
      <c r="I371" s="118" t="s">
        <v>304</v>
      </c>
      <c r="J371" s="58">
        <v>37941</v>
      </c>
      <c r="K371" s="116">
        <f t="shared" si="10"/>
        <v>370</v>
      </c>
      <c r="L371" s="19"/>
      <c r="M371" s="20"/>
    </row>
    <row r="372" s="17" customFormat="1" ht="21" customHeight="1" spans="1:13">
      <c r="A372" s="116">
        <f t="shared" si="11"/>
        <v>371</v>
      </c>
      <c r="B372" s="119" t="s">
        <v>402</v>
      </c>
      <c r="C372" s="19" t="s">
        <v>322</v>
      </c>
      <c r="D372" s="19" t="s">
        <v>18</v>
      </c>
      <c r="E372" s="124" t="s">
        <v>403</v>
      </c>
      <c r="F372" s="19" t="s">
        <v>16</v>
      </c>
      <c r="G372" s="118"/>
      <c r="H372" s="19"/>
      <c r="I372" s="118" t="s">
        <v>304</v>
      </c>
      <c r="J372" s="58">
        <v>37941</v>
      </c>
      <c r="K372" s="116">
        <f t="shared" si="10"/>
        <v>371</v>
      </c>
      <c r="L372" s="19"/>
      <c r="M372" s="20"/>
    </row>
    <row r="373" s="17" customFormat="1" ht="21" customHeight="1" spans="1:13">
      <c r="A373" s="116">
        <f t="shared" si="11"/>
        <v>372</v>
      </c>
      <c r="B373" s="119" t="s">
        <v>404</v>
      </c>
      <c r="C373" s="19" t="s">
        <v>322</v>
      </c>
      <c r="D373" s="19" t="s">
        <v>18</v>
      </c>
      <c r="E373" s="124" t="s">
        <v>405</v>
      </c>
      <c r="F373" s="19" t="s">
        <v>16</v>
      </c>
      <c r="G373" s="118" t="s">
        <v>406</v>
      </c>
      <c r="H373" s="19"/>
      <c r="I373" s="118" t="s">
        <v>20</v>
      </c>
      <c r="J373" s="58">
        <v>37941</v>
      </c>
      <c r="K373" s="116">
        <f t="shared" si="10"/>
        <v>372</v>
      </c>
      <c r="L373" s="19"/>
      <c r="M373" s="20"/>
    </row>
    <row r="374" s="17" customFormat="1" ht="21" customHeight="1" spans="1:13">
      <c r="A374" s="116">
        <f t="shared" si="11"/>
        <v>373</v>
      </c>
      <c r="B374" s="119" t="s">
        <v>407</v>
      </c>
      <c r="C374" s="19" t="s">
        <v>322</v>
      </c>
      <c r="D374" s="19" t="s">
        <v>18</v>
      </c>
      <c r="E374" s="124" t="s">
        <v>405</v>
      </c>
      <c r="F374" s="19" t="s">
        <v>16</v>
      </c>
      <c r="G374" s="118"/>
      <c r="H374" s="19"/>
      <c r="I374" s="118" t="s">
        <v>20</v>
      </c>
      <c r="J374" s="58">
        <v>37941</v>
      </c>
      <c r="K374" s="116">
        <f t="shared" ref="K374:K437" si="12">A374</f>
        <v>373</v>
      </c>
      <c r="L374" s="19"/>
      <c r="M374" s="20"/>
    </row>
    <row r="375" s="17" customFormat="1" ht="21" customHeight="1" spans="1:13">
      <c r="A375" s="116">
        <f t="shared" si="11"/>
        <v>374</v>
      </c>
      <c r="B375" s="119" t="s">
        <v>408</v>
      </c>
      <c r="C375" s="19" t="s">
        <v>322</v>
      </c>
      <c r="D375" s="19" t="s">
        <v>18</v>
      </c>
      <c r="E375" s="124" t="s">
        <v>409</v>
      </c>
      <c r="F375" s="19" t="s">
        <v>16</v>
      </c>
      <c r="G375" s="118" t="s">
        <v>399</v>
      </c>
      <c r="H375" s="19"/>
      <c r="I375" s="118" t="s">
        <v>36</v>
      </c>
      <c r="J375" s="58">
        <v>37941</v>
      </c>
      <c r="K375" s="116">
        <f t="shared" si="12"/>
        <v>374</v>
      </c>
      <c r="L375" s="19"/>
      <c r="M375" s="20"/>
    </row>
    <row r="376" s="17" customFormat="1" ht="21" customHeight="1" spans="1:13">
      <c r="A376" s="116">
        <f t="shared" si="11"/>
        <v>375</v>
      </c>
      <c r="B376" s="119">
        <v>1834150</v>
      </c>
      <c r="C376" s="19" t="s">
        <v>322</v>
      </c>
      <c r="D376" s="19" t="s">
        <v>82</v>
      </c>
      <c r="E376" s="124" t="s">
        <v>137</v>
      </c>
      <c r="F376" s="19" t="s">
        <v>65</v>
      </c>
      <c r="G376" s="118" t="s">
        <v>58</v>
      </c>
      <c r="H376" s="19"/>
      <c r="I376" s="118" t="s">
        <v>17</v>
      </c>
      <c r="J376" s="58">
        <v>37941</v>
      </c>
      <c r="K376" s="116">
        <f t="shared" si="12"/>
        <v>375</v>
      </c>
      <c r="L376" s="19"/>
      <c r="M376" s="20"/>
    </row>
    <row r="377" s="17" customFormat="1" ht="21" customHeight="1" spans="1:13">
      <c r="A377" s="116">
        <f t="shared" si="11"/>
        <v>376</v>
      </c>
      <c r="B377" s="119">
        <v>1834140</v>
      </c>
      <c r="C377" s="19" t="s">
        <v>322</v>
      </c>
      <c r="D377" s="19" t="s">
        <v>18</v>
      </c>
      <c r="E377" s="124" t="s">
        <v>138</v>
      </c>
      <c r="F377" s="19" t="s">
        <v>16</v>
      </c>
      <c r="G377" s="118" t="s">
        <v>148</v>
      </c>
      <c r="H377" s="19"/>
      <c r="I377" s="118" t="s">
        <v>17</v>
      </c>
      <c r="J377" s="58">
        <v>37941</v>
      </c>
      <c r="K377" s="116">
        <f t="shared" si="12"/>
        <v>376</v>
      </c>
      <c r="L377" s="19"/>
      <c r="M377" s="20"/>
    </row>
    <row r="378" s="17" customFormat="1" ht="21" customHeight="1" spans="1:13">
      <c r="A378" s="116">
        <f t="shared" si="11"/>
        <v>377</v>
      </c>
      <c r="B378" s="119">
        <v>1834135</v>
      </c>
      <c r="C378" s="19" t="s">
        <v>322</v>
      </c>
      <c r="D378" s="19" t="s">
        <v>18</v>
      </c>
      <c r="E378" s="124" t="s">
        <v>410</v>
      </c>
      <c r="F378" s="19" t="s">
        <v>16</v>
      </c>
      <c r="G378" s="118" t="s">
        <v>406</v>
      </c>
      <c r="H378" s="19"/>
      <c r="I378" s="118" t="s">
        <v>20</v>
      </c>
      <c r="J378" s="58">
        <v>37941</v>
      </c>
      <c r="K378" s="116">
        <f t="shared" si="12"/>
        <v>377</v>
      </c>
      <c r="L378" s="19"/>
      <c r="M378" s="20"/>
    </row>
    <row r="379" s="17" customFormat="1" ht="21" customHeight="1" spans="1:13">
      <c r="A379" s="116">
        <f t="shared" si="11"/>
        <v>378</v>
      </c>
      <c r="B379" s="119" t="s">
        <v>411</v>
      </c>
      <c r="C379" s="19" t="s">
        <v>322</v>
      </c>
      <c r="D379" s="19" t="s">
        <v>18</v>
      </c>
      <c r="E379" s="124" t="s">
        <v>255</v>
      </c>
      <c r="F379" s="19" t="s">
        <v>216</v>
      </c>
      <c r="G379" s="118" t="s">
        <v>256</v>
      </c>
      <c r="H379" s="19"/>
      <c r="I379" s="118" t="s">
        <v>17</v>
      </c>
      <c r="J379" s="58">
        <v>37941</v>
      </c>
      <c r="K379" s="116">
        <f t="shared" si="12"/>
        <v>378</v>
      </c>
      <c r="L379" s="19"/>
      <c r="M379" s="20"/>
    </row>
    <row r="380" s="17" customFormat="1" ht="21" customHeight="1" spans="1:13">
      <c r="A380" s="116">
        <f t="shared" si="11"/>
        <v>379</v>
      </c>
      <c r="B380" s="119" t="s">
        <v>412</v>
      </c>
      <c r="C380" s="19" t="s">
        <v>322</v>
      </c>
      <c r="D380" s="19" t="s">
        <v>82</v>
      </c>
      <c r="E380" s="124" t="s">
        <v>136</v>
      </c>
      <c r="F380" s="19" t="s">
        <v>65</v>
      </c>
      <c r="G380" s="118" t="s">
        <v>58</v>
      </c>
      <c r="H380" s="19"/>
      <c r="I380" s="118" t="s">
        <v>17</v>
      </c>
      <c r="J380" s="58">
        <v>37941</v>
      </c>
      <c r="K380" s="116">
        <f t="shared" si="12"/>
        <v>379</v>
      </c>
      <c r="L380" s="19"/>
      <c r="M380" s="20"/>
    </row>
    <row r="381" s="17" customFormat="1" ht="21" customHeight="1" spans="1:13">
      <c r="A381" s="116">
        <f t="shared" si="11"/>
        <v>380</v>
      </c>
      <c r="B381" s="119" t="s">
        <v>413</v>
      </c>
      <c r="C381" s="19" t="s">
        <v>322</v>
      </c>
      <c r="D381" s="19" t="s">
        <v>18</v>
      </c>
      <c r="E381" s="124" t="s">
        <v>164</v>
      </c>
      <c r="F381" s="19" t="s">
        <v>16</v>
      </c>
      <c r="G381" s="118" t="s">
        <v>148</v>
      </c>
      <c r="H381" s="19"/>
      <c r="I381" s="118" t="s">
        <v>17</v>
      </c>
      <c r="J381" s="58">
        <v>37941</v>
      </c>
      <c r="K381" s="116">
        <f t="shared" si="12"/>
        <v>380</v>
      </c>
      <c r="L381" s="19"/>
      <c r="M381" s="20"/>
    </row>
    <row r="382" s="17" customFormat="1" ht="21" customHeight="1" spans="1:13">
      <c r="A382" s="116">
        <f t="shared" si="11"/>
        <v>381</v>
      </c>
      <c r="B382" s="119" t="s">
        <v>414</v>
      </c>
      <c r="C382" s="19" t="s">
        <v>322</v>
      </c>
      <c r="D382" s="19" t="s">
        <v>18</v>
      </c>
      <c r="E382" s="124" t="s">
        <v>415</v>
      </c>
      <c r="F382" s="19" t="s">
        <v>16</v>
      </c>
      <c r="G382" s="118" t="s">
        <v>416</v>
      </c>
      <c r="H382" s="19"/>
      <c r="I382" s="118" t="s">
        <v>20</v>
      </c>
      <c r="J382" s="58">
        <v>37941</v>
      </c>
      <c r="K382" s="116">
        <f t="shared" si="12"/>
        <v>381</v>
      </c>
      <c r="L382" s="19"/>
      <c r="M382" s="20"/>
    </row>
    <row r="383" s="17" customFormat="1" ht="21" customHeight="1" spans="1:13">
      <c r="A383" s="116">
        <f t="shared" si="11"/>
        <v>382</v>
      </c>
      <c r="B383" s="119" t="s">
        <v>417</v>
      </c>
      <c r="C383" s="19" t="s">
        <v>322</v>
      </c>
      <c r="D383" s="19" t="s">
        <v>18</v>
      </c>
      <c r="E383" s="124" t="s">
        <v>418</v>
      </c>
      <c r="F383" s="19" t="s">
        <v>16</v>
      </c>
      <c r="G383" s="118" t="s">
        <v>419</v>
      </c>
      <c r="H383" s="19"/>
      <c r="I383" s="118" t="s">
        <v>36</v>
      </c>
      <c r="J383" s="58">
        <v>37941</v>
      </c>
      <c r="K383" s="116">
        <f t="shared" si="12"/>
        <v>382</v>
      </c>
      <c r="L383" s="19"/>
      <c r="M383" s="20"/>
    </row>
    <row r="384" s="17" customFormat="1" ht="21" customHeight="1" spans="1:13">
      <c r="A384" s="116">
        <f t="shared" si="11"/>
        <v>383</v>
      </c>
      <c r="B384" s="119" t="s">
        <v>420</v>
      </c>
      <c r="C384" s="19" t="s">
        <v>322</v>
      </c>
      <c r="D384" s="19" t="s">
        <v>18</v>
      </c>
      <c r="E384" s="124" t="s">
        <v>141</v>
      </c>
      <c r="F384" s="19" t="s">
        <v>16</v>
      </c>
      <c r="G384" s="118" t="s">
        <v>416</v>
      </c>
      <c r="H384" s="19"/>
      <c r="I384" s="118" t="s">
        <v>20</v>
      </c>
      <c r="J384" s="58">
        <v>37941</v>
      </c>
      <c r="K384" s="116">
        <f t="shared" si="12"/>
        <v>383</v>
      </c>
      <c r="L384" s="19"/>
      <c r="M384" s="20"/>
    </row>
    <row r="385" s="17" customFormat="1" ht="21" customHeight="1" spans="1:13">
      <c r="A385" s="116">
        <f t="shared" si="11"/>
        <v>384</v>
      </c>
      <c r="B385" s="119" t="s">
        <v>421</v>
      </c>
      <c r="C385" s="19" t="s">
        <v>322</v>
      </c>
      <c r="D385" s="19" t="s">
        <v>18</v>
      </c>
      <c r="E385" s="124" t="s">
        <v>422</v>
      </c>
      <c r="F385" s="19" t="s">
        <v>16</v>
      </c>
      <c r="G385" s="118" t="s">
        <v>416</v>
      </c>
      <c r="H385" s="19"/>
      <c r="I385" s="118" t="s">
        <v>20</v>
      </c>
      <c r="J385" s="58">
        <v>37941</v>
      </c>
      <c r="K385" s="116">
        <f t="shared" si="12"/>
        <v>384</v>
      </c>
      <c r="L385" s="19"/>
      <c r="M385" s="20"/>
    </row>
    <row r="386" s="17" customFormat="1" ht="21" customHeight="1" spans="1:13">
      <c r="A386" s="116">
        <f t="shared" si="11"/>
        <v>385</v>
      </c>
      <c r="B386" s="119" t="s">
        <v>423</v>
      </c>
      <c r="C386" s="19" t="s">
        <v>322</v>
      </c>
      <c r="D386" s="19" t="s">
        <v>18</v>
      </c>
      <c r="E386" s="124" t="s">
        <v>424</v>
      </c>
      <c r="F386" s="19" t="s">
        <v>16</v>
      </c>
      <c r="G386" s="118" t="s">
        <v>406</v>
      </c>
      <c r="H386" s="19"/>
      <c r="I386" s="118" t="s">
        <v>20</v>
      </c>
      <c r="J386" s="58">
        <v>37941</v>
      </c>
      <c r="K386" s="116">
        <f t="shared" si="12"/>
        <v>385</v>
      </c>
      <c r="L386" s="19"/>
      <c r="M386" s="20"/>
    </row>
    <row r="387" s="17" customFormat="1" ht="21" customHeight="1" spans="1:13">
      <c r="A387" s="116">
        <f t="shared" si="11"/>
        <v>386</v>
      </c>
      <c r="B387" s="119" t="s">
        <v>425</v>
      </c>
      <c r="C387" s="19" t="s">
        <v>322</v>
      </c>
      <c r="D387" s="19" t="s">
        <v>18</v>
      </c>
      <c r="E387" s="124" t="s">
        <v>141</v>
      </c>
      <c r="F387" s="19" t="s">
        <v>16</v>
      </c>
      <c r="G387" s="118" t="s">
        <v>416</v>
      </c>
      <c r="H387" s="19"/>
      <c r="I387" s="118" t="s">
        <v>20</v>
      </c>
      <c r="J387" s="58">
        <v>37941</v>
      </c>
      <c r="K387" s="116">
        <f t="shared" si="12"/>
        <v>386</v>
      </c>
      <c r="L387" s="19"/>
      <c r="M387" s="20"/>
    </row>
    <row r="388" s="17" customFormat="1" ht="21" customHeight="1" spans="1:13">
      <c r="A388" s="116">
        <f t="shared" ref="A388:A451" si="13">ROW(L388)-1</f>
        <v>387</v>
      </c>
      <c r="B388" s="119" t="s">
        <v>426</v>
      </c>
      <c r="C388" s="19" t="s">
        <v>322</v>
      </c>
      <c r="D388" s="19" t="s">
        <v>18</v>
      </c>
      <c r="E388" s="124" t="s">
        <v>427</v>
      </c>
      <c r="F388" s="19" t="s">
        <v>16</v>
      </c>
      <c r="G388" s="118" t="s">
        <v>191</v>
      </c>
      <c r="H388" s="19"/>
      <c r="I388" s="118" t="s">
        <v>38</v>
      </c>
      <c r="J388" s="58">
        <v>37941</v>
      </c>
      <c r="K388" s="116">
        <f t="shared" si="12"/>
        <v>387</v>
      </c>
      <c r="L388" s="19"/>
      <c r="M388" s="20"/>
    </row>
    <row r="389" s="17" customFormat="1" ht="21" customHeight="1" spans="1:13">
      <c r="A389" s="116">
        <f t="shared" si="13"/>
        <v>388</v>
      </c>
      <c r="B389" s="119" t="s">
        <v>428</v>
      </c>
      <c r="C389" s="19" t="s">
        <v>322</v>
      </c>
      <c r="D389" s="19" t="s">
        <v>18</v>
      </c>
      <c r="E389" s="124" t="s">
        <v>429</v>
      </c>
      <c r="F389" s="19" t="s">
        <v>16</v>
      </c>
      <c r="G389" s="118" t="s">
        <v>416</v>
      </c>
      <c r="H389" s="19"/>
      <c r="I389" s="118" t="s">
        <v>20</v>
      </c>
      <c r="J389" s="58">
        <v>37941</v>
      </c>
      <c r="K389" s="116">
        <f t="shared" si="12"/>
        <v>388</v>
      </c>
      <c r="L389" s="19"/>
      <c r="M389" s="20"/>
    </row>
    <row r="390" s="17" customFormat="1" ht="21" customHeight="1" spans="1:13">
      <c r="A390" s="116">
        <f t="shared" si="13"/>
        <v>389</v>
      </c>
      <c r="B390" s="119" t="s">
        <v>430</v>
      </c>
      <c r="C390" s="19" t="s">
        <v>322</v>
      </c>
      <c r="D390" s="19" t="s">
        <v>18</v>
      </c>
      <c r="E390" s="124" t="s">
        <v>224</v>
      </c>
      <c r="F390" s="19" t="s">
        <v>16</v>
      </c>
      <c r="G390" s="118"/>
      <c r="H390" s="19"/>
      <c r="I390" s="118" t="s">
        <v>36</v>
      </c>
      <c r="J390" s="58">
        <v>37941</v>
      </c>
      <c r="K390" s="116">
        <f t="shared" si="12"/>
        <v>389</v>
      </c>
      <c r="L390" s="19"/>
      <c r="M390" s="20"/>
    </row>
    <row r="391" s="17" customFormat="1" ht="21" customHeight="1" spans="1:13">
      <c r="A391" s="116">
        <f t="shared" si="13"/>
        <v>390</v>
      </c>
      <c r="B391" s="119" t="s">
        <v>431</v>
      </c>
      <c r="C391" s="19" t="s">
        <v>322</v>
      </c>
      <c r="D391" s="19" t="s">
        <v>18</v>
      </c>
      <c r="E391" s="124" t="s">
        <v>432</v>
      </c>
      <c r="F391" s="19" t="s">
        <v>16</v>
      </c>
      <c r="G391" s="118" t="s">
        <v>373</v>
      </c>
      <c r="H391" s="19"/>
      <c r="I391" s="118" t="s">
        <v>36</v>
      </c>
      <c r="J391" s="58">
        <v>37941</v>
      </c>
      <c r="K391" s="116">
        <f t="shared" si="12"/>
        <v>390</v>
      </c>
      <c r="L391" s="19"/>
      <c r="M391" s="20"/>
    </row>
    <row r="392" s="17" customFormat="1" ht="21" customHeight="1" spans="1:13">
      <c r="A392" s="116">
        <f t="shared" si="13"/>
        <v>391</v>
      </c>
      <c r="B392" s="119" t="s">
        <v>433</v>
      </c>
      <c r="C392" s="19" t="s">
        <v>322</v>
      </c>
      <c r="D392" s="19" t="s">
        <v>18</v>
      </c>
      <c r="E392" s="124" t="s">
        <v>434</v>
      </c>
      <c r="F392" s="19" t="s">
        <v>16</v>
      </c>
      <c r="G392" s="118" t="s">
        <v>380</v>
      </c>
      <c r="H392" s="19"/>
      <c r="I392" s="118" t="s">
        <v>81</v>
      </c>
      <c r="J392" s="58">
        <v>37941</v>
      </c>
      <c r="K392" s="116">
        <f t="shared" si="12"/>
        <v>391</v>
      </c>
      <c r="L392" s="19"/>
      <c r="M392" s="20"/>
    </row>
    <row r="393" s="17" customFormat="1" ht="21" customHeight="1" spans="1:13">
      <c r="A393" s="116">
        <f t="shared" si="13"/>
        <v>392</v>
      </c>
      <c r="B393" s="119" t="s">
        <v>435</v>
      </c>
      <c r="C393" s="19" t="s">
        <v>322</v>
      </c>
      <c r="D393" s="19" t="s">
        <v>18</v>
      </c>
      <c r="E393" s="124" t="s">
        <v>436</v>
      </c>
      <c r="F393" s="19" t="s">
        <v>16</v>
      </c>
      <c r="G393" s="118" t="s">
        <v>437</v>
      </c>
      <c r="H393" s="19"/>
      <c r="I393" s="118" t="s">
        <v>36</v>
      </c>
      <c r="J393" s="58">
        <v>37941</v>
      </c>
      <c r="K393" s="116">
        <f t="shared" si="12"/>
        <v>392</v>
      </c>
      <c r="L393" s="19"/>
      <c r="M393" s="20"/>
    </row>
    <row r="394" s="17" customFormat="1" ht="21" customHeight="1" spans="1:13">
      <c r="A394" s="116">
        <f t="shared" si="13"/>
        <v>393</v>
      </c>
      <c r="B394" s="119" t="s">
        <v>438</v>
      </c>
      <c r="C394" s="19" t="s">
        <v>322</v>
      </c>
      <c r="D394" s="19" t="s">
        <v>82</v>
      </c>
      <c r="E394" s="124" t="s">
        <v>64</v>
      </c>
      <c r="F394" s="19" t="s">
        <v>65</v>
      </c>
      <c r="G394" s="118" t="s">
        <v>148</v>
      </c>
      <c r="H394" s="19"/>
      <c r="I394" s="118" t="s">
        <v>17</v>
      </c>
      <c r="J394" s="58">
        <v>37941</v>
      </c>
      <c r="K394" s="116">
        <f t="shared" si="12"/>
        <v>393</v>
      </c>
      <c r="L394" s="19"/>
      <c r="M394" s="20"/>
    </row>
    <row r="395" s="17" customFormat="1" ht="21" customHeight="1" spans="1:13">
      <c r="A395" s="116">
        <f t="shared" si="13"/>
        <v>394</v>
      </c>
      <c r="B395" s="119" t="s">
        <v>439</v>
      </c>
      <c r="C395" s="19" t="s">
        <v>322</v>
      </c>
      <c r="D395" s="19" t="s">
        <v>18</v>
      </c>
      <c r="E395" s="124" t="s">
        <v>163</v>
      </c>
      <c r="F395" s="19" t="s">
        <v>16</v>
      </c>
      <c r="G395" s="118" t="s">
        <v>352</v>
      </c>
      <c r="H395" s="19"/>
      <c r="I395" s="118" t="s">
        <v>20</v>
      </c>
      <c r="J395" s="58">
        <v>37941</v>
      </c>
      <c r="K395" s="116">
        <f t="shared" si="12"/>
        <v>394</v>
      </c>
      <c r="L395" s="19"/>
      <c r="M395" s="20"/>
    </row>
    <row r="396" s="17" customFormat="1" ht="21" customHeight="1" spans="1:13">
      <c r="A396" s="116">
        <f t="shared" si="13"/>
        <v>395</v>
      </c>
      <c r="B396" s="119" t="s">
        <v>440</v>
      </c>
      <c r="C396" s="19" t="s">
        <v>322</v>
      </c>
      <c r="D396" s="19" t="s">
        <v>82</v>
      </c>
      <c r="E396" s="124" t="s">
        <v>57</v>
      </c>
      <c r="F396" s="19" t="s">
        <v>65</v>
      </c>
      <c r="G396" s="118" t="s">
        <v>58</v>
      </c>
      <c r="H396" s="19"/>
      <c r="I396" s="118" t="s">
        <v>17</v>
      </c>
      <c r="J396" s="58">
        <v>37941</v>
      </c>
      <c r="K396" s="116">
        <f t="shared" si="12"/>
        <v>395</v>
      </c>
      <c r="L396" s="19"/>
      <c r="M396" s="20"/>
    </row>
    <row r="397" s="17" customFormat="1" ht="21" customHeight="1" spans="1:13">
      <c r="A397" s="116">
        <f t="shared" si="13"/>
        <v>396</v>
      </c>
      <c r="B397" s="119" t="s">
        <v>441</v>
      </c>
      <c r="C397" s="19" t="s">
        <v>322</v>
      </c>
      <c r="D397" s="19" t="s">
        <v>18</v>
      </c>
      <c r="E397" s="124" t="s">
        <v>442</v>
      </c>
      <c r="F397" s="19" t="s">
        <v>16</v>
      </c>
      <c r="G397" s="118" t="s">
        <v>363</v>
      </c>
      <c r="H397" s="19"/>
      <c r="I397" s="118" t="s">
        <v>36</v>
      </c>
      <c r="J397" s="58">
        <v>37941</v>
      </c>
      <c r="K397" s="116">
        <f t="shared" si="12"/>
        <v>396</v>
      </c>
      <c r="L397" s="19"/>
      <c r="M397" s="20"/>
    </row>
    <row r="398" s="17" customFormat="1" ht="21" customHeight="1" spans="1:13">
      <c r="A398" s="116">
        <f t="shared" si="13"/>
        <v>397</v>
      </c>
      <c r="B398" s="119" t="s">
        <v>443</v>
      </c>
      <c r="C398" s="19" t="s">
        <v>322</v>
      </c>
      <c r="D398" s="19" t="s">
        <v>82</v>
      </c>
      <c r="E398" s="124" t="s">
        <v>111</v>
      </c>
      <c r="F398" s="19" t="s">
        <v>65</v>
      </c>
      <c r="G398" s="118" t="s">
        <v>112</v>
      </c>
      <c r="H398" s="19"/>
      <c r="I398" s="118" t="s">
        <v>17</v>
      </c>
      <c r="J398" s="58">
        <v>37941</v>
      </c>
      <c r="K398" s="116">
        <f t="shared" si="12"/>
        <v>397</v>
      </c>
      <c r="L398" s="19"/>
      <c r="M398" s="20"/>
    </row>
    <row r="399" s="17" customFormat="1" ht="21" customHeight="1" spans="1:13">
      <c r="A399" s="116">
        <f t="shared" si="13"/>
        <v>398</v>
      </c>
      <c r="B399" s="119" t="s">
        <v>444</v>
      </c>
      <c r="C399" s="19" t="s">
        <v>322</v>
      </c>
      <c r="D399" s="19" t="s">
        <v>82</v>
      </c>
      <c r="E399" s="124" t="s">
        <v>109</v>
      </c>
      <c r="F399" s="19" t="s">
        <v>65</v>
      </c>
      <c r="G399" s="118" t="s">
        <v>32</v>
      </c>
      <c r="H399" s="19"/>
      <c r="I399" s="118" t="s">
        <v>17</v>
      </c>
      <c r="J399" s="58">
        <v>37941</v>
      </c>
      <c r="K399" s="116">
        <f t="shared" si="12"/>
        <v>398</v>
      </c>
      <c r="L399" s="19"/>
      <c r="M399" s="20"/>
    </row>
    <row r="400" s="17" customFormat="1" ht="21" customHeight="1" spans="1:13">
      <c r="A400" s="116">
        <f t="shared" si="13"/>
        <v>399</v>
      </c>
      <c r="B400" s="119" t="s">
        <v>445</v>
      </c>
      <c r="C400" s="19" t="s">
        <v>322</v>
      </c>
      <c r="D400" s="19" t="s">
        <v>18</v>
      </c>
      <c r="E400" s="124" t="s">
        <v>446</v>
      </c>
      <c r="F400" s="19" t="s">
        <v>16</v>
      </c>
      <c r="G400" s="118" t="s">
        <v>447</v>
      </c>
      <c r="H400" s="19"/>
      <c r="I400" s="118" t="s">
        <v>17</v>
      </c>
      <c r="J400" s="58">
        <v>37941</v>
      </c>
      <c r="K400" s="116">
        <f t="shared" si="12"/>
        <v>399</v>
      </c>
      <c r="L400" s="19"/>
      <c r="M400" s="20"/>
    </row>
    <row r="401" s="17" customFormat="1" ht="21" customHeight="1" spans="1:13">
      <c r="A401" s="116">
        <f t="shared" si="13"/>
        <v>400</v>
      </c>
      <c r="B401" s="119" t="s">
        <v>448</v>
      </c>
      <c r="C401" s="19" t="s">
        <v>322</v>
      </c>
      <c r="D401" s="19" t="s">
        <v>18</v>
      </c>
      <c r="E401" s="124" t="s">
        <v>449</v>
      </c>
      <c r="F401" s="19" t="s">
        <v>16</v>
      </c>
      <c r="G401" s="118" t="s">
        <v>363</v>
      </c>
      <c r="H401" s="19"/>
      <c r="I401" s="118" t="s">
        <v>36</v>
      </c>
      <c r="J401" s="58">
        <v>37941</v>
      </c>
      <c r="K401" s="116">
        <f t="shared" si="12"/>
        <v>400</v>
      </c>
      <c r="L401" s="19"/>
      <c r="M401" s="20"/>
    </row>
    <row r="402" s="17" customFormat="1" ht="21" customHeight="1" spans="1:13">
      <c r="A402" s="116">
        <f t="shared" si="13"/>
        <v>401</v>
      </c>
      <c r="B402" s="119" t="s">
        <v>450</v>
      </c>
      <c r="C402" s="19" t="s">
        <v>322</v>
      </c>
      <c r="D402" s="19" t="s">
        <v>18</v>
      </c>
      <c r="E402" s="124" t="s">
        <v>451</v>
      </c>
      <c r="F402" s="19" t="s">
        <v>16</v>
      </c>
      <c r="G402" s="118" t="s">
        <v>363</v>
      </c>
      <c r="H402" s="19"/>
      <c r="I402" s="118" t="s">
        <v>36</v>
      </c>
      <c r="J402" s="58">
        <v>37941</v>
      </c>
      <c r="K402" s="116">
        <f t="shared" si="12"/>
        <v>401</v>
      </c>
      <c r="L402" s="19"/>
      <c r="M402" s="20"/>
    </row>
    <row r="403" s="17" customFormat="1" ht="21" customHeight="1" spans="1:13">
      <c r="A403" s="116">
        <f t="shared" si="13"/>
        <v>402</v>
      </c>
      <c r="B403" s="119" t="s">
        <v>452</v>
      </c>
      <c r="C403" s="19" t="s">
        <v>322</v>
      </c>
      <c r="D403" s="19" t="s">
        <v>18</v>
      </c>
      <c r="E403" s="124" t="s">
        <v>453</v>
      </c>
      <c r="F403" s="19" t="s">
        <v>16</v>
      </c>
      <c r="G403" s="118"/>
      <c r="H403" s="19"/>
      <c r="I403" s="118" t="s">
        <v>20</v>
      </c>
      <c r="J403" s="58">
        <v>37941</v>
      </c>
      <c r="K403" s="116">
        <f t="shared" si="12"/>
        <v>402</v>
      </c>
      <c r="L403" s="19"/>
      <c r="M403" s="20"/>
    </row>
    <row r="404" s="17" customFormat="1" ht="21" customHeight="1" spans="1:13">
      <c r="A404" s="116">
        <f t="shared" si="13"/>
        <v>403</v>
      </c>
      <c r="B404" s="119" t="s">
        <v>454</v>
      </c>
      <c r="C404" s="19" t="s">
        <v>322</v>
      </c>
      <c r="D404" s="19" t="s">
        <v>18</v>
      </c>
      <c r="E404" s="124" t="s">
        <v>455</v>
      </c>
      <c r="F404" s="19" t="s">
        <v>16</v>
      </c>
      <c r="G404" s="118"/>
      <c r="H404" s="19"/>
      <c r="I404" s="118" t="s">
        <v>36</v>
      </c>
      <c r="J404" s="58">
        <v>37941</v>
      </c>
      <c r="K404" s="116">
        <f t="shared" si="12"/>
        <v>403</v>
      </c>
      <c r="L404" s="19"/>
      <c r="M404" s="20"/>
    </row>
    <row r="405" s="17" customFormat="1" ht="21" customHeight="1" spans="1:13">
      <c r="A405" s="116">
        <f t="shared" si="13"/>
        <v>404</v>
      </c>
      <c r="B405" s="119" t="s">
        <v>456</v>
      </c>
      <c r="C405" s="19" t="s">
        <v>322</v>
      </c>
      <c r="D405" s="19" t="s">
        <v>82</v>
      </c>
      <c r="E405" s="124" t="s">
        <v>111</v>
      </c>
      <c r="F405" s="19" t="s">
        <v>65</v>
      </c>
      <c r="G405" s="118" t="s">
        <v>112</v>
      </c>
      <c r="H405" s="19"/>
      <c r="I405" s="118" t="s">
        <v>17</v>
      </c>
      <c r="J405" s="58">
        <v>37941</v>
      </c>
      <c r="K405" s="116">
        <f t="shared" si="12"/>
        <v>404</v>
      </c>
      <c r="L405" s="19"/>
      <c r="M405" s="20"/>
    </row>
    <row r="406" s="17" customFormat="1" ht="21" customHeight="1" spans="1:13">
      <c r="A406" s="116">
        <f t="shared" si="13"/>
        <v>405</v>
      </c>
      <c r="B406" s="119" t="s">
        <v>457</v>
      </c>
      <c r="C406" s="19" t="s">
        <v>322</v>
      </c>
      <c r="D406" s="19" t="s">
        <v>18</v>
      </c>
      <c r="E406" s="124" t="s">
        <v>458</v>
      </c>
      <c r="F406" s="19" t="s">
        <v>16</v>
      </c>
      <c r="G406" s="118"/>
      <c r="H406" s="19"/>
      <c r="I406" s="118" t="s">
        <v>38</v>
      </c>
      <c r="J406" s="58">
        <v>37941</v>
      </c>
      <c r="K406" s="116">
        <f t="shared" si="12"/>
        <v>405</v>
      </c>
      <c r="L406" s="19"/>
      <c r="M406" s="20"/>
    </row>
    <row r="407" s="17" customFormat="1" ht="21" customHeight="1" spans="1:13">
      <c r="A407" s="116">
        <f t="shared" si="13"/>
        <v>406</v>
      </c>
      <c r="B407" s="119" t="s">
        <v>457</v>
      </c>
      <c r="C407" s="19" t="s">
        <v>322</v>
      </c>
      <c r="D407" s="19" t="s">
        <v>82</v>
      </c>
      <c r="E407" s="124" t="s">
        <v>109</v>
      </c>
      <c r="F407" s="19" t="s">
        <v>65</v>
      </c>
      <c r="G407" s="118" t="s">
        <v>32</v>
      </c>
      <c r="H407" s="19"/>
      <c r="I407" s="118" t="s">
        <v>38</v>
      </c>
      <c r="J407" s="58">
        <v>37941</v>
      </c>
      <c r="K407" s="116">
        <f t="shared" si="12"/>
        <v>406</v>
      </c>
      <c r="L407" s="19"/>
      <c r="M407" s="20"/>
    </row>
    <row r="408" s="17" customFormat="1" ht="21" customHeight="1" spans="1:13">
      <c r="A408" s="116">
        <f t="shared" si="13"/>
        <v>407</v>
      </c>
      <c r="B408" s="119" t="s">
        <v>459</v>
      </c>
      <c r="C408" s="19" t="s">
        <v>322</v>
      </c>
      <c r="D408" s="19" t="s">
        <v>18</v>
      </c>
      <c r="E408" s="124" t="s">
        <v>460</v>
      </c>
      <c r="F408" s="19" t="s">
        <v>16</v>
      </c>
      <c r="G408" s="118"/>
      <c r="H408" s="19"/>
      <c r="I408" s="118" t="s">
        <v>20</v>
      </c>
      <c r="J408" s="58">
        <v>37941</v>
      </c>
      <c r="K408" s="116">
        <f t="shared" si="12"/>
        <v>407</v>
      </c>
      <c r="L408" s="19"/>
      <c r="M408" s="20"/>
    </row>
    <row r="409" s="17" customFormat="1" ht="21" customHeight="1" spans="1:13">
      <c r="A409" s="116">
        <f t="shared" si="13"/>
        <v>408</v>
      </c>
      <c r="B409" s="119" t="s">
        <v>461</v>
      </c>
      <c r="C409" s="19" t="s">
        <v>322</v>
      </c>
      <c r="D409" s="19" t="s">
        <v>18</v>
      </c>
      <c r="E409" s="124" t="s">
        <v>462</v>
      </c>
      <c r="F409" s="19" t="s">
        <v>16</v>
      </c>
      <c r="G409" s="118"/>
      <c r="H409" s="19"/>
      <c r="I409" s="118" t="s">
        <v>20</v>
      </c>
      <c r="J409" s="58">
        <v>37941</v>
      </c>
      <c r="K409" s="116">
        <f t="shared" si="12"/>
        <v>408</v>
      </c>
      <c r="L409" s="19"/>
      <c r="M409" s="20"/>
    </row>
    <row r="410" s="17" customFormat="1" ht="21" customHeight="1" spans="1:13">
      <c r="A410" s="116">
        <f t="shared" si="13"/>
        <v>409</v>
      </c>
      <c r="B410" s="119" t="s">
        <v>463</v>
      </c>
      <c r="C410" s="19" t="s">
        <v>322</v>
      </c>
      <c r="D410" s="19" t="s">
        <v>18</v>
      </c>
      <c r="E410" s="124" t="s">
        <v>464</v>
      </c>
      <c r="F410" s="19" t="s">
        <v>16</v>
      </c>
      <c r="G410" s="118"/>
      <c r="H410" s="19"/>
      <c r="I410" s="118" t="s">
        <v>20</v>
      </c>
      <c r="J410" s="58">
        <v>37941</v>
      </c>
      <c r="K410" s="116">
        <f t="shared" si="12"/>
        <v>409</v>
      </c>
      <c r="L410" s="19"/>
      <c r="M410" s="20"/>
    </row>
    <row r="411" s="17" customFormat="1" ht="21" customHeight="1" spans="1:13">
      <c r="A411" s="116">
        <f t="shared" si="13"/>
        <v>410</v>
      </c>
      <c r="B411" s="119" t="s">
        <v>465</v>
      </c>
      <c r="C411" s="19" t="s">
        <v>322</v>
      </c>
      <c r="D411" s="19" t="s">
        <v>18</v>
      </c>
      <c r="E411" s="124" t="s">
        <v>427</v>
      </c>
      <c r="F411" s="19" t="s">
        <v>16</v>
      </c>
      <c r="G411" s="118" t="s">
        <v>191</v>
      </c>
      <c r="H411" s="19"/>
      <c r="I411" s="118" t="s">
        <v>38</v>
      </c>
      <c r="J411" s="58">
        <v>37941</v>
      </c>
      <c r="K411" s="116">
        <f t="shared" si="12"/>
        <v>410</v>
      </c>
      <c r="L411" s="19"/>
      <c r="M411" s="20"/>
    </row>
    <row r="412" s="17" customFormat="1" ht="21" customHeight="1" spans="1:13">
      <c r="A412" s="116">
        <f t="shared" si="13"/>
        <v>411</v>
      </c>
      <c r="B412" s="119" t="s">
        <v>466</v>
      </c>
      <c r="C412" s="19" t="s">
        <v>322</v>
      </c>
      <c r="D412" s="19" t="s">
        <v>18</v>
      </c>
      <c r="E412" s="124" t="s">
        <v>467</v>
      </c>
      <c r="F412" s="19" t="s">
        <v>16</v>
      </c>
      <c r="G412" s="118" t="s">
        <v>468</v>
      </c>
      <c r="H412" s="19"/>
      <c r="I412" s="118" t="s">
        <v>36</v>
      </c>
      <c r="J412" s="58">
        <v>37941</v>
      </c>
      <c r="K412" s="116">
        <f t="shared" si="12"/>
        <v>411</v>
      </c>
      <c r="L412" s="19"/>
      <c r="M412" s="20"/>
    </row>
    <row r="413" s="17" customFormat="1" ht="21" customHeight="1" spans="1:13">
      <c r="A413" s="116">
        <f t="shared" si="13"/>
        <v>412</v>
      </c>
      <c r="B413" s="119" t="s">
        <v>469</v>
      </c>
      <c r="C413" s="19" t="s">
        <v>322</v>
      </c>
      <c r="D413" s="19" t="s">
        <v>18</v>
      </c>
      <c r="E413" s="124" t="s">
        <v>470</v>
      </c>
      <c r="F413" s="19" t="s">
        <v>16</v>
      </c>
      <c r="G413" s="118" t="s">
        <v>468</v>
      </c>
      <c r="H413" s="19"/>
      <c r="I413" s="118" t="s">
        <v>36</v>
      </c>
      <c r="J413" s="58">
        <v>37941</v>
      </c>
      <c r="K413" s="116">
        <f t="shared" si="12"/>
        <v>412</v>
      </c>
      <c r="L413" s="19"/>
      <c r="M413" s="20"/>
    </row>
    <row r="414" s="17" customFormat="1" ht="21" customHeight="1" spans="1:13">
      <c r="A414" s="116">
        <f t="shared" si="13"/>
        <v>413</v>
      </c>
      <c r="B414" s="119" t="s">
        <v>471</v>
      </c>
      <c r="C414" s="19" t="s">
        <v>322</v>
      </c>
      <c r="D414" s="19" t="s">
        <v>18</v>
      </c>
      <c r="E414" s="124" t="s">
        <v>472</v>
      </c>
      <c r="F414" s="19" t="s">
        <v>16</v>
      </c>
      <c r="G414" s="118" t="s">
        <v>468</v>
      </c>
      <c r="H414" s="19"/>
      <c r="I414" s="118" t="s">
        <v>36</v>
      </c>
      <c r="J414" s="58">
        <v>37941</v>
      </c>
      <c r="K414" s="116">
        <f t="shared" si="12"/>
        <v>413</v>
      </c>
      <c r="L414" s="19"/>
      <c r="M414" s="20"/>
    </row>
    <row r="415" s="17" customFormat="1" ht="21" customHeight="1" spans="1:13">
      <c r="A415" s="116">
        <f t="shared" si="13"/>
        <v>414</v>
      </c>
      <c r="B415" s="119" t="s">
        <v>473</v>
      </c>
      <c r="C415" s="19" t="s">
        <v>322</v>
      </c>
      <c r="D415" s="19" t="s">
        <v>18</v>
      </c>
      <c r="E415" s="124" t="s">
        <v>163</v>
      </c>
      <c r="F415" s="19" t="s">
        <v>16</v>
      </c>
      <c r="G415" s="118" t="s">
        <v>352</v>
      </c>
      <c r="H415" s="19"/>
      <c r="I415" s="118" t="s">
        <v>20</v>
      </c>
      <c r="J415" s="58">
        <v>37941</v>
      </c>
      <c r="K415" s="116">
        <f t="shared" si="12"/>
        <v>414</v>
      </c>
      <c r="L415" s="19"/>
      <c r="M415" s="20"/>
    </row>
    <row r="416" s="17" customFormat="1" ht="21" customHeight="1" spans="1:13">
      <c r="A416" s="116">
        <f t="shared" si="13"/>
        <v>415</v>
      </c>
      <c r="B416" s="119" t="s">
        <v>474</v>
      </c>
      <c r="C416" s="19" t="s">
        <v>322</v>
      </c>
      <c r="D416" s="19" t="s">
        <v>18</v>
      </c>
      <c r="E416" s="124" t="s">
        <v>467</v>
      </c>
      <c r="F416" s="19" t="s">
        <v>16</v>
      </c>
      <c r="G416" s="118" t="s">
        <v>468</v>
      </c>
      <c r="H416" s="19"/>
      <c r="I416" s="118" t="s">
        <v>36</v>
      </c>
      <c r="J416" s="58">
        <v>37941</v>
      </c>
      <c r="K416" s="116">
        <f t="shared" si="12"/>
        <v>415</v>
      </c>
      <c r="L416" s="19"/>
      <c r="M416" s="20"/>
    </row>
    <row r="417" s="17" customFormat="1" ht="21" customHeight="1" spans="1:13">
      <c r="A417" s="116">
        <f t="shared" si="13"/>
        <v>416</v>
      </c>
      <c r="B417" s="119">
        <v>1822200</v>
      </c>
      <c r="C417" s="19" t="s">
        <v>322</v>
      </c>
      <c r="D417" s="19" t="s">
        <v>18</v>
      </c>
      <c r="E417" s="124" t="s">
        <v>470</v>
      </c>
      <c r="F417" s="19" t="s">
        <v>16</v>
      </c>
      <c r="G417" s="118" t="s">
        <v>468</v>
      </c>
      <c r="H417" s="19"/>
      <c r="I417" s="118" t="s">
        <v>36</v>
      </c>
      <c r="J417" s="58">
        <v>37941</v>
      </c>
      <c r="K417" s="116">
        <f t="shared" si="12"/>
        <v>416</v>
      </c>
      <c r="L417" s="19"/>
      <c r="M417" s="20"/>
    </row>
    <row r="418" s="17" customFormat="1" ht="21" customHeight="1" spans="1:13">
      <c r="A418" s="116">
        <f t="shared" si="13"/>
        <v>417</v>
      </c>
      <c r="B418" s="119">
        <v>1822150</v>
      </c>
      <c r="C418" s="19" t="s">
        <v>322</v>
      </c>
      <c r="D418" s="19" t="s">
        <v>18</v>
      </c>
      <c r="E418" s="124" t="s">
        <v>472</v>
      </c>
      <c r="F418" s="19" t="s">
        <v>16</v>
      </c>
      <c r="G418" s="118" t="s">
        <v>468</v>
      </c>
      <c r="H418" s="19"/>
      <c r="I418" s="118" t="s">
        <v>36</v>
      </c>
      <c r="J418" s="58">
        <v>37941</v>
      </c>
      <c r="K418" s="116">
        <f t="shared" si="12"/>
        <v>417</v>
      </c>
      <c r="L418" s="19"/>
      <c r="M418" s="20"/>
    </row>
    <row r="419" s="17" customFormat="1" ht="21" customHeight="1" spans="1:13">
      <c r="A419" s="116">
        <f t="shared" si="13"/>
        <v>418</v>
      </c>
      <c r="B419" s="119" t="s">
        <v>475</v>
      </c>
      <c r="C419" s="19" t="s">
        <v>322</v>
      </c>
      <c r="D419" s="19" t="s">
        <v>18</v>
      </c>
      <c r="E419" s="124" t="s">
        <v>476</v>
      </c>
      <c r="F419" s="19" t="s">
        <v>16</v>
      </c>
      <c r="G419" s="118" t="s">
        <v>477</v>
      </c>
      <c r="H419" s="19"/>
      <c r="I419" s="118" t="s">
        <v>36</v>
      </c>
      <c r="J419" s="58">
        <v>37941</v>
      </c>
      <c r="K419" s="116">
        <f t="shared" si="12"/>
        <v>418</v>
      </c>
      <c r="L419" s="19"/>
      <c r="M419" s="20"/>
    </row>
    <row r="420" s="17" customFormat="1" ht="21" customHeight="1" spans="1:13">
      <c r="A420" s="116">
        <f t="shared" si="13"/>
        <v>419</v>
      </c>
      <c r="B420" s="119" t="s">
        <v>478</v>
      </c>
      <c r="C420" s="19" t="s">
        <v>322</v>
      </c>
      <c r="D420" s="19" t="s">
        <v>18</v>
      </c>
      <c r="E420" s="124" t="s">
        <v>479</v>
      </c>
      <c r="F420" s="19" t="s">
        <v>16</v>
      </c>
      <c r="G420" s="118" t="s">
        <v>477</v>
      </c>
      <c r="H420" s="19"/>
      <c r="I420" s="118" t="s">
        <v>36</v>
      </c>
      <c r="J420" s="58">
        <v>37941</v>
      </c>
      <c r="K420" s="116">
        <f t="shared" si="12"/>
        <v>419</v>
      </c>
      <c r="L420" s="19"/>
      <c r="M420" s="20"/>
    </row>
    <row r="421" s="17" customFormat="1" ht="21" customHeight="1" spans="1:13">
      <c r="A421" s="116">
        <f t="shared" si="13"/>
        <v>420</v>
      </c>
      <c r="B421" s="119" t="s">
        <v>480</v>
      </c>
      <c r="C421" s="19" t="s">
        <v>322</v>
      </c>
      <c r="D421" s="19" t="s">
        <v>18</v>
      </c>
      <c r="E421" s="124" t="s">
        <v>481</v>
      </c>
      <c r="F421" s="19" t="s">
        <v>31</v>
      </c>
      <c r="G421" s="118" t="s">
        <v>40</v>
      </c>
      <c r="H421" s="19"/>
      <c r="I421" s="118" t="s">
        <v>17</v>
      </c>
      <c r="J421" s="58">
        <v>37941</v>
      </c>
      <c r="K421" s="116">
        <f t="shared" si="12"/>
        <v>420</v>
      </c>
      <c r="L421" s="19"/>
      <c r="M421" s="20"/>
    </row>
    <row r="422" s="17" customFormat="1" ht="21" customHeight="1" spans="1:13">
      <c r="A422" s="116">
        <f t="shared" si="13"/>
        <v>421</v>
      </c>
      <c r="B422" s="119">
        <v>1820500</v>
      </c>
      <c r="C422" s="19" t="s">
        <v>322</v>
      </c>
      <c r="D422" s="19" t="s">
        <v>18</v>
      </c>
      <c r="E422" s="124" t="s">
        <v>482</v>
      </c>
      <c r="F422" s="19" t="s">
        <v>16</v>
      </c>
      <c r="G422" s="118" t="s">
        <v>380</v>
      </c>
      <c r="H422" s="19"/>
      <c r="I422" s="118" t="s">
        <v>81</v>
      </c>
      <c r="J422" s="58">
        <v>37941</v>
      </c>
      <c r="K422" s="116">
        <f t="shared" si="12"/>
        <v>421</v>
      </c>
      <c r="L422" s="19"/>
      <c r="M422" s="20"/>
    </row>
    <row r="423" s="17" customFormat="1" ht="21" customHeight="1" spans="1:13">
      <c r="A423" s="116">
        <f t="shared" si="13"/>
        <v>422</v>
      </c>
      <c r="B423" s="119">
        <v>1820400</v>
      </c>
      <c r="C423" s="19" t="s">
        <v>322</v>
      </c>
      <c r="D423" s="19" t="s">
        <v>82</v>
      </c>
      <c r="E423" s="124" t="s">
        <v>64</v>
      </c>
      <c r="F423" s="19" t="s">
        <v>65</v>
      </c>
      <c r="G423" s="118" t="s">
        <v>58</v>
      </c>
      <c r="H423" s="19"/>
      <c r="I423" s="118" t="s">
        <v>17</v>
      </c>
      <c r="J423" s="58">
        <v>37941</v>
      </c>
      <c r="K423" s="116">
        <f t="shared" si="12"/>
        <v>422</v>
      </c>
      <c r="L423" s="19"/>
      <c r="M423" s="20"/>
    </row>
    <row r="424" s="17" customFormat="1" ht="21" customHeight="1" spans="1:13">
      <c r="A424" s="116">
        <f t="shared" si="13"/>
        <v>423</v>
      </c>
      <c r="B424" s="119">
        <v>1820300</v>
      </c>
      <c r="C424" s="19" t="s">
        <v>322</v>
      </c>
      <c r="D424" s="19" t="s">
        <v>82</v>
      </c>
      <c r="E424" s="124" t="s">
        <v>57</v>
      </c>
      <c r="F424" s="19" t="s">
        <v>65</v>
      </c>
      <c r="G424" s="118" t="s">
        <v>58</v>
      </c>
      <c r="H424" s="19"/>
      <c r="I424" s="118" t="s">
        <v>17</v>
      </c>
      <c r="J424" s="58">
        <v>37941</v>
      </c>
      <c r="K424" s="116">
        <f t="shared" si="12"/>
        <v>423</v>
      </c>
      <c r="L424" s="19"/>
      <c r="M424" s="20"/>
    </row>
    <row r="425" s="17" customFormat="1" ht="21" customHeight="1" spans="1:13">
      <c r="A425" s="116">
        <f t="shared" si="13"/>
        <v>424</v>
      </c>
      <c r="B425" s="119" t="s">
        <v>483</v>
      </c>
      <c r="C425" s="19" t="s">
        <v>322</v>
      </c>
      <c r="D425" s="19" t="s">
        <v>82</v>
      </c>
      <c r="E425" s="124" t="s">
        <v>111</v>
      </c>
      <c r="F425" s="19" t="s">
        <v>65</v>
      </c>
      <c r="G425" s="118" t="s">
        <v>112</v>
      </c>
      <c r="H425" s="19"/>
      <c r="I425" s="118" t="s">
        <v>17</v>
      </c>
      <c r="J425" s="58">
        <v>37941</v>
      </c>
      <c r="K425" s="116">
        <f t="shared" si="12"/>
        <v>424</v>
      </c>
      <c r="L425" s="19"/>
      <c r="M425" s="20"/>
    </row>
    <row r="426" s="17" customFormat="1" ht="21" customHeight="1" spans="1:13">
      <c r="A426" s="116">
        <f t="shared" si="13"/>
        <v>425</v>
      </c>
      <c r="B426" s="119" t="s">
        <v>484</v>
      </c>
      <c r="C426" s="19" t="s">
        <v>322</v>
      </c>
      <c r="D426" s="19" t="s">
        <v>18</v>
      </c>
      <c r="E426" s="124" t="s">
        <v>485</v>
      </c>
      <c r="F426" s="19" t="s">
        <v>16</v>
      </c>
      <c r="G426" s="118" t="s">
        <v>437</v>
      </c>
      <c r="H426" s="19"/>
      <c r="I426" s="118" t="s">
        <v>36</v>
      </c>
      <c r="J426" s="58">
        <v>37941</v>
      </c>
      <c r="K426" s="116">
        <f t="shared" si="12"/>
        <v>425</v>
      </c>
      <c r="L426" s="19"/>
      <c r="M426" s="20"/>
    </row>
    <row r="427" s="17" customFormat="1" ht="21" customHeight="1" spans="1:13">
      <c r="A427" s="116">
        <f t="shared" si="13"/>
        <v>426</v>
      </c>
      <c r="B427" s="119" t="s">
        <v>486</v>
      </c>
      <c r="C427" s="19" t="s">
        <v>322</v>
      </c>
      <c r="D427" s="19" t="s">
        <v>18</v>
      </c>
      <c r="E427" s="124" t="s">
        <v>487</v>
      </c>
      <c r="F427" s="19" t="s">
        <v>16</v>
      </c>
      <c r="G427" s="118" t="s">
        <v>488</v>
      </c>
      <c r="H427" s="19"/>
      <c r="I427" s="118" t="s">
        <v>36</v>
      </c>
      <c r="J427" s="58">
        <v>37941</v>
      </c>
      <c r="K427" s="116">
        <f t="shared" si="12"/>
        <v>426</v>
      </c>
      <c r="L427" s="19"/>
      <c r="M427" s="20"/>
    </row>
    <row r="428" s="17" customFormat="1" ht="21" customHeight="1" spans="1:13">
      <c r="A428" s="116">
        <f t="shared" si="13"/>
        <v>427</v>
      </c>
      <c r="B428" s="119" t="s">
        <v>489</v>
      </c>
      <c r="C428" s="19" t="s">
        <v>322</v>
      </c>
      <c r="D428" s="19" t="s">
        <v>82</v>
      </c>
      <c r="E428" s="124" t="s">
        <v>109</v>
      </c>
      <c r="F428" s="19" t="s">
        <v>65</v>
      </c>
      <c r="G428" s="118" t="s">
        <v>32</v>
      </c>
      <c r="H428" s="19"/>
      <c r="I428" s="118" t="s">
        <v>17</v>
      </c>
      <c r="J428" s="58">
        <v>37941</v>
      </c>
      <c r="K428" s="116">
        <f t="shared" si="12"/>
        <v>427</v>
      </c>
      <c r="L428" s="19"/>
      <c r="M428" s="20"/>
    </row>
    <row r="429" s="17" customFormat="1" ht="21" customHeight="1" spans="1:13">
      <c r="A429" s="116">
        <f t="shared" si="13"/>
        <v>428</v>
      </c>
      <c r="B429" s="119" t="s">
        <v>490</v>
      </c>
      <c r="C429" s="19" t="s">
        <v>322</v>
      </c>
      <c r="D429" s="19" t="s">
        <v>18</v>
      </c>
      <c r="E429" s="124" t="s">
        <v>208</v>
      </c>
      <c r="F429" s="19" t="s">
        <v>16</v>
      </c>
      <c r="G429" s="118"/>
      <c r="H429" s="19"/>
      <c r="I429" s="118" t="s">
        <v>20</v>
      </c>
      <c r="J429" s="58">
        <v>37941</v>
      </c>
      <c r="K429" s="116">
        <f t="shared" si="12"/>
        <v>428</v>
      </c>
      <c r="L429" s="19"/>
      <c r="M429" s="20"/>
    </row>
    <row r="430" s="17" customFormat="1" ht="21" customHeight="1" spans="1:13">
      <c r="A430" s="116">
        <f t="shared" si="13"/>
        <v>429</v>
      </c>
      <c r="B430" s="119" t="s">
        <v>491</v>
      </c>
      <c r="C430" s="19" t="s">
        <v>322</v>
      </c>
      <c r="D430" s="19" t="s">
        <v>18</v>
      </c>
      <c r="E430" s="124" t="s">
        <v>492</v>
      </c>
      <c r="F430" s="19" t="s">
        <v>16</v>
      </c>
      <c r="G430" s="118"/>
      <c r="H430" s="19"/>
      <c r="I430" s="118" t="s">
        <v>36</v>
      </c>
      <c r="J430" s="58">
        <v>37941</v>
      </c>
      <c r="K430" s="116">
        <f t="shared" si="12"/>
        <v>429</v>
      </c>
      <c r="L430" s="19"/>
      <c r="M430" s="20"/>
    </row>
    <row r="431" s="17" customFormat="1" ht="21" customHeight="1" spans="1:13">
      <c r="A431" s="116">
        <f t="shared" si="13"/>
        <v>430</v>
      </c>
      <c r="B431" s="119" t="s">
        <v>493</v>
      </c>
      <c r="C431" s="19" t="s">
        <v>322</v>
      </c>
      <c r="D431" s="19" t="s">
        <v>18</v>
      </c>
      <c r="E431" s="124" t="s">
        <v>494</v>
      </c>
      <c r="F431" s="19" t="s">
        <v>16</v>
      </c>
      <c r="G431" s="118"/>
      <c r="H431" s="19"/>
      <c r="I431" s="118" t="s">
        <v>20</v>
      </c>
      <c r="J431" s="58">
        <v>37941</v>
      </c>
      <c r="K431" s="116">
        <f t="shared" si="12"/>
        <v>430</v>
      </c>
      <c r="L431" s="19"/>
      <c r="M431" s="20"/>
    </row>
    <row r="432" s="17" customFormat="1" ht="21" customHeight="1" spans="1:13">
      <c r="A432" s="116">
        <f t="shared" si="13"/>
        <v>431</v>
      </c>
      <c r="B432" s="119">
        <v>1818250</v>
      </c>
      <c r="C432" s="19" t="s">
        <v>322</v>
      </c>
      <c r="D432" s="19" t="s">
        <v>18</v>
      </c>
      <c r="E432" s="124" t="s">
        <v>495</v>
      </c>
      <c r="F432" s="19" t="s">
        <v>16</v>
      </c>
      <c r="G432" s="118" t="s">
        <v>488</v>
      </c>
      <c r="H432" s="19"/>
      <c r="I432" s="118" t="s">
        <v>36</v>
      </c>
      <c r="J432" s="58">
        <v>37941</v>
      </c>
      <c r="K432" s="116">
        <f t="shared" si="12"/>
        <v>431</v>
      </c>
      <c r="L432" s="19"/>
      <c r="M432" s="20"/>
    </row>
    <row r="433" s="17" customFormat="1" ht="21" customHeight="1" spans="1:13">
      <c r="A433" s="116">
        <f t="shared" si="13"/>
        <v>432</v>
      </c>
      <c r="B433" s="119">
        <v>1818000</v>
      </c>
      <c r="C433" s="19" t="s">
        <v>322</v>
      </c>
      <c r="D433" s="19" t="s">
        <v>18</v>
      </c>
      <c r="E433" s="124" t="s">
        <v>165</v>
      </c>
      <c r="F433" s="19" t="s">
        <v>16</v>
      </c>
      <c r="G433" s="118" t="s">
        <v>40</v>
      </c>
      <c r="H433" s="19"/>
      <c r="I433" s="118" t="s">
        <v>17</v>
      </c>
      <c r="J433" s="58">
        <v>37941</v>
      </c>
      <c r="K433" s="116">
        <f t="shared" si="12"/>
        <v>432</v>
      </c>
      <c r="L433" s="19"/>
      <c r="M433" s="20"/>
    </row>
    <row r="434" s="17" customFormat="1" ht="21" customHeight="1" spans="1:13">
      <c r="A434" s="116">
        <f t="shared" si="13"/>
        <v>433</v>
      </c>
      <c r="B434" s="119" t="s">
        <v>496</v>
      </c>
      <c r="C434" s="19" t="s">
        <v>322</v>
      </c>
      <c r="D434" s="19" t="s">
        <v>18</v>
      </c>
      <c r="E434" s="124" t="s">
        <v>497</v>
      </c>
      <c r="F434" s="19" t="s">
        <v>16</v>
      </c>
      <c r="G434" s="118" t="s">
        <v>488</v>
      </c>
      <c r="H434" s="19"/>
      <c r="I434" s="118" t="s">
        <v>36</v>
      </c>
      <c r="J434" s="58">
        <v>37941</v>
      </c>
      <c r="K434" s="116">
        <f t="shared" si="12"/>
        <v>433</v>
      </c>
      <c r="L434" s="19"/>
      <c r="M434" s="20"/>
    </row>
    <row r="435" s="17" customFormat="1" ht="21" customHeight="1" spans="1:13">
      <c r="A435" s="116">
        <f t="shared" si="13"/>
        <v>434</v>
      </c>
      <c r="B435" s="119" t="s">
        <v>498</v>
      </c>
      <c r="C435" s="19" t="s">
        <v>322</v>
      </c>
      <c r="D435" s="19" t="s">
        <v>18</v>
      </c>
      <c r="E435" s="124" t="s">
        <v>499</v>
      </c>
      <c r="F435" s="19" t="s">
        <v>16</v>
      </c>
      <c r="G435" s="118" t="s">
        <v>373</v>
      </c>
      <c r="H435" s="19"/>
      <c r="I435" s="118" t="s">
        <v>36</v>
      </c>
      <c r="J435" s="58">
        <v>37941</v>
      </c>
      <c r="K435" s="116">
        <f t="shared" si="12"/>
        <v>434</v>
      </c>
      <c r="L435" s="19"/>
      <c r="M435" s="20"/>
    </row>
    <row r="436" s="17" customFormat="1" ht="21" customHeight="1" spans="1:13">
      <c r="A436" s="116">
        <f t="shared" si="13"/>
        <v>435</v>
      </c>
      <c r="B436" s="119" t="s">
        <v>500</v>
      </c>
      <c r="C436" s="19" t="s">
        <v>322</v>
      </c>
      <c r="D436" s="19" t="s">
        <v>18</v>
      </c>
      <c r="E436" s="124" t="s">
        <v>501</v>
      </c>
      <c r="F436" s="19" t="s">
        <v>16</v>
      </c>
      <c r="G436" s="118"/>
      <c r="H436" s="19"/>
      <c r="I436" s="118" t="s">
        <v>20</v>
      </c>
      <c r="J436" s="58">
        <v>37941</v>
      </c>
      <c r="K436" s="116">
        <f t="shared" si="12"/>
        <v>435</v>
      </c>
      <c r="L436" s="19"/>
      <c r="M436" s="20"/>
    </row>
    <row r="437" s="17" customFormat="1" ht="21" customHeight="1" spans="1:13">
      <c r="A437" s="116">
        <f t="shared" si="13"/>
        <v>436</v>
      </c>
      <c r="B437" s="119" t="s">
        <v>502</v>
      </c>
      <c r="C437" s="19" t="s">
        <v>322</v>
      </c>
      <c r="D437" s="19" t="s">
        <v>18</v>
      </c>
      <c r="E437" s="124" t="s">
        <v>503</v>
      </c>
      <c r="F437" s="19" t="s">
        <v>16</v>
      </c>
      <c r="G437" s="118" t="s">
        <v>488</v>
      </c>
      <c r="H437" s="19"/>
      <c r="I437" s="118" t="s">
        <v>36</v>
      </c>
      <c r="J437" s="58">
        <v>37941</v>
      </c>
      <c r="K437" s="116">
        <f t="shared" si="12"/>
        <v>436</v>
      </c>
      <c r="L437" s="19"/>
      <c r="M437" s="20"/>
    </row>
    <row r="438" s="17" customFormat="1" ht="21" customHeight="1" spans="1:13">
      <c r="A438" s="116">
        <f t="shared" si="13"/>
        <v>437</v>
      </c>
      <c r="B438" s="119" t="s">
        <v>504</v>
      </c>
      <c r="C438" s="19" t="s">
        <v>322</v>
      </c>
      <c r="D438" s="19" t="s">
        <v>18</v>
      </c>
      <c r="E438" s="124" t="s">
        <v>382</v>
      </c>
      <c r="F438" s="19" t="s">
        <v>16</v>
      </c>
      <c r="G438" s="118" t="s">
        <v>437</v>
      </c>
      <c r="H438" s="19"/>
      <c r="I438" s="118" t="s">
        <v>36</v>
      </c>
      <c r="J438" s="58">
        <v>37941</v>
      </c>
      <c r="K438" s="116">
        <f t="shared" ref="K438:K501" si="14">A438</f>
        <v>437</v>
      </c>
      <c r="L438" s="19"/>
      <c r="M438" s="20"/>
    </row>
    <row r="439" s="17" customFormat="1" ht="21" customHeight="1" spans="1:13">
      <c r="A439" s="116">
        <f t="shared" si="13"/>
        <v>438</v>
      </c>
      <c r="B439" s="119" t="s">
        <v>505</v>
      </c>
      <c r="C439" s="19" t="s">
        <v>322</v>
      </c>
      <c r="D439" s="19" t="s">
        <v>18</v>
      </c>
      <c r="E439" s="124" t="s">
        <v>506</v>
      </c>
      <c r="F439" s="19" t="s">
        <v>16</v>
      </c>
      <c r="G439" s="118" t="s">
        <v>380</v>
      </c>
      <c r="H439" s="19"/>
      <c r="I439" s="118" t="s">
        <v>81</v>
      </c>
      <c r="J439" s="58">
        <v>37941</v>
      </c>
      <c r="K439" s="116">
        <f t="shared" si="14"/>
        <v>438</v>
      </c>
      <c r="L439" s="19"/>
      <c r="M439" s="20"/>
    </row>
    <row r="440" s="17" customFormat="1" ht="21" customHeight="1" spans="1:13">
      <c r="A440" s="116">
        <f t="shared" si="13"/>
        <v>439</v>
      </c>
      <c r="B440" s="119" t="s">
        <v>507</v>
      </c>
      <c r="C440" s="19" t="s">
        <v>322</v>
      </c>
      <c r="D440" s="19" t="s">
        <v>18</v>
      </c>
      <c r="E440" s="124" t="s">
        <v>508</v>
      </c>
      <c r="F440" s="19" t="s">
        <v>16</v>
      </c>
      <c r="G440" s="118" t="s">
        <v>416</v>
      </c>
      <c r="H440" s="19"/>
      <c r="I440" s="118" t="s">
        <v>20</v>
      </c>
      <c r="J440" s="58">
        <v>37941</v>
      </c>
      <c r="K440" s="116">
        <f t="shared" si="14"/>
        <v>439</v>
      </c>
      <c r="L440" s="19"/>
      <c r="M440" s="20"/>
    </row>
    <row r="441" s="17" customFormat="1" ht="21" customHeight="1" spans="1:13">
      <c r="A441" s="116">
        <f t="shared" si="13"/>
        <v>440</v>
      </c>
      <c r="B441" s="119" t="s">
        <v>509</v>
      </c>
      <c r="C441" s="19" t="s">
        <v>322</v>
      </c>
      <c r="D441" s="19" t="s">
        <v>18</v>
      </c>
      <c r="E441" s="124" t="s">
        <v>64</v>
      </c>
      <c r="F441" s="19" t="s">
        <v>65</v>
      </c>
      <c r="G441" s="118" t="s">
        <v>148</v>
      </c>
      <c r="H441" s="19"/>
      <c r="I441" s="118" t="s">
        <v>17</v>
      </c>
      <c r="J441" s="58">
        <v>37941</v>
      </c>
      <c r="K441" s="116">
        <f t="shared" si="14"/>
        <v>440</v>
      </c>
      <c r="L441" s="19"/>
      <c r="M441" s="20"/>
    </row>
    <row r="442" s="17" customFormat="1" ht="21" customHeight="1" spans="1:13">
      <c r="A442" s="116">
        <f t="shared" si="13"/>
        <v>441</v>
      </c>
      <c r="B442" s="119" t="s">
        <v>510</v>
      </c>
      <c r="C442" s="19" t="s">
        <v>322</v>
      </c>
      <c r="D442" s="19" t="s">
        <v>18</v>
      </c>
      <c r="E442" s="124" t="s">
        <v>57</v>
      </c>
      <c r="F442" s="19" t="s">
        <v>65</v>
      </c>
      <c r="G442" s="118" t="s">
        <v>148</v>
      </c>
      <c r="H442" s="19"/>
      <c r="I442" s="118" t="s">
        <v>17</v>
      </c>
      <c r="J442" s="58">
        <v>37941</v>
      </c>
      <c r="K442" s="116">
        <f t="shared" si="14"/>
        <v>441</v>
      </c>
      <c r="L442" s="19"/>
      <c r="M442" s="20"/>
    </row>
    <row r="443" s="17" customFormat="1" ht="21" customHeight="1" spans="1:13">
      <c r="A443" s="116">
        <f t="shared" si="13"/>
        <v>442</v>
      </c>
      <c r="B443" s="119" t="s">
        <v>511</v>
      </c>
      <c r="C443" s="19" t="s">
        <v>322</v>
      </c>
      <c r="D443" s="19" t="s">
        <v>18</v>
      </c>
      <c r="E443" s="124" t="s">
        <v>512</v>
      </c>
      <c r="F443" s="19" t="s">
        <v>16</v>
      </c>
      <c r="G443" s="118" t="s">
        <v>416</v>
      </c>
      <c r="H443" s="19"/>
      <c r="I443" s="118" t="s">
        <v>20</v>
      </c>
      <c r="J443" s="58">
        <v>37941</v>
      </c>
      <c r="K443" s="116">
        <f t="shared" si="14"/>
        <v>442</v>
      </c>
      <c r="L443" s="19"/>
      <c r="M443" s="20"/>
    </row>
    <row r="444" s="17" customFormat="1" ht="21" customHeight="1" spans="1:13">
      <c r="A444" s="116">
        <f t="shared" si="13"/>
        <v>443</v>
      </c>
      <c r="B444" s="119" t="s">
        <v>513</v>
      </c>
      <c r="C444" s="19" t="s">
        <v>322</v>
      </c>
      <c r="D444" s="19" t="s">
        <v>18</v>
      </c>
      <c r="E444" s="124" t="s">
        <v>229</v>
      </c>
      <c r="F444" s="19" t="s">
        <v>31</v>
      </c>
      <c r="G444" s="118" t="s">
        <v>40</v>
      </c>
      <c r="H444" s="19"/>
      <c r="I444" s="118" t="s">
        <v>17</v>
      </c>
      <c r="J444" s="58">
        <v>37941</v>
      </c>
      <c r="K444" s="116">
        <f t="shared" si="14"/>
        <v>443</v>
      </c>
      <c r="L444" s="19"/>
      <c r="M444" s="20"/>
    </row>
    <row r="445" s="17" customFormat="1" ht="21" customHeight="1" spans="1:13">
      <c r="A445" s="116">
        <f t="shared" si="13"/>
        <v>444</v>
      </c>
      <c r="B445" s="119" t="s">
        <v>514</v>
      </c>
      <c r="C445" s="19" t="s">
        <v>322</v>
      </c>
      <c r="D445" s="19" t="s">
        <v>18</v>
      </c>
      <c r="E445" s="124" t="s">
        <v>138</v>
      </c>
      <c r="F445" s="19" t="s">
        <v>31</v>
      </c>
      <c r="G445" s="118" t="s">
        <v>148</v>
      </c>
      <c r="H445" s="19"/>
      <c r="I445" s="118" t="s">
        <v>17</v>
      </c>
      <c r="J445" s="58">
        <v>37941</v>
      </c>
      <c r="K445" s="116">
        <f t="shared" si="14"/>
        <v>444</v>
      </c>
      <c r="L445" s="19"/>
      <c r="M445" s="20"/>
    </row>
    <row r="446" s="17" customFormat="1" ht="21" customHeight="1" spans="1:13">
      <c r="A446" s="116">
        <f t="shared" si="13"/>
        <v>445</v>
      </c>
      <c r="B446" s="119" t="s">
        <v>515</v>
      </c>
      <c r="C446" s="19" t="s">
        <v>322</v>
      </c>
      <c r="D446" s="19" t="s">
        <v>18</v>
      </c>
      <c r="E446" s="124" t="s">
        <v>516</v>
      </c>
      <c r="F446" s="19" t="s">
        <v>16</v>
      </c>
      <c r="G446" s="118"/>
      <c r="H446" s="19"/>
      <c r="I446" s="118" t="s">
        <v>36</v>
      </c>
      <c r="J446" s="58">
        <v>37941</v>
      </c>
      <c r="K446" s="116">
        <f t="shared" si="14"/>
        <v>445</v>
      </c>
      <c r="L446" s="19"/>
      <c r="M446" s="20"/>
    </row>
    <row r="447" s="17" customFormat="1" ht="21" customHeight="1" spans="1:13">
      <c r="A447" s="116">
        <f t="shared" si="13"/>
        <v>446</v>
      </c>
      <c r="B447" s="119" t="s">
        <v>517</v>
      </c>
      <c r="C447" s="19" t="s">
        <v>322</v>
      </c>
      <c r="D447" s="19" t="s">
        <v>18</v>
      </c>
      <c r="E447" s="124" t="s">
        <v>518</v>
      </c>
      <c r="F447" s="19" t="s">
        <v>16</v>
      </c>
      <c r="G447" s="118"/>
      <c r="H447" s="19"/>
      <c r="I447" s="118" t="s">
        <v>17</v>
      </c>
      <c r="J447" s="58">
        <v>37941</v>
      </c>
      <c r="K447" s="116">
        <f t="shared" si="14"/>
        <v>446</v>
      </c>
      <c r="L447" s="19"/>
      <c r="M447" s="20"/>
    </row>
    <row r="448" s="17" customFormat="1" ht="21" customHeight="1" spans="1:13">
      <c r="A448" s="116">
        <f t="shared" si="13"/>
        <v>447</v>
      </c>
      <c r="B448" s="119" t="s">
        <v>519</v>
      </c>
      <c r="C448" s="19" t="s">
        <v>322</v>
      </c>
      <c r="D448" s="19" t="s">
        <v>18</v>
      </c>
      <c r="E448" s="124" t="s">
        <v>520</v>
      </c>
      <c r="F448" s="19" t="s">
        <v>16</v>
      </c>
      <c r="G448" s="118" t="s">
        <v>380</v>
      </c>
      <c r="H448" s="19"/>
      <c r="I448" s="118" t="s">
        <v>20</v>
      </c>
      <c r="J448" s="58">
        <v>37941</v>
      </c>
      <c r="K448" s="116">
        <f t="shared" si="14"/>
        <v>447</v>
      </c>
      <c r="L448" s="19"/>
      <c r="M448" s="20"/>
    </row>
    <row r="449" s="17" customFormat="1" ht="21" customHeight="1" spans="1:13">
      <c r="A449" s="116">
        <f t="shared" si="13"/>
        <v>448</v>
      </c>
      <c r="B449" s="119" t="s">
        <v>521</v>
      </c>
      <c r="C449" s="19" t="s">
        <v>322</v>
      </c>
      <c r="D449" s="19" t="s">
        <v>18</v>
      </c>
      <c r="E449" s="124" t="s">
        <v>467</v>
      </c>
      <c r="F449" s="19" t="s">
        <v>16</v>
      </c>
      <c r="G449" s="118"/>
      <c r="H449" s="19"/>
      <c r="I449" s="118" t="s">
        <v>17</v>
      </c>
      <c r="J449" s="58">
        <v>37941</v>
      </c>
      <c r="K449" s="116">
        <f t="shared" si="14"/>
        <v>448</v>
      </c>
      <c r="L449" s="19"/>
      <c r="M449" s="20"/>
    </row>
    <row r="450" s="17" customFormat="1" ht="21" customHeight="1" spans="1:13">
      <c r="A450" s="116">
        <f t="shared" si="13"/>
        <v>449</v>
      </c>
      <c r="B450" s="119" t="s">
        <v>522</v>
      </c>
      <c r="C450" s="19" t="s">
        <v>322</v>
      </c>
      <c r="D450" s="19" t="s">
        <v>18</v>
      </c>
      <c r="E450" s="124" t="s">
        <v>470</v>
      </c>
      <c r="F450" s="19" t="s">
        <v>16</v>
      </c>
      <c r="G450" s="118"/>
      <c r="H450" s="19"/>
      <c r="I450" s="118" t="s">
        <v>17</v>
      </c>
      <c r="J450" s="58">
        <v>37941</v>
      </c>
      <c r="K450" s="116">
        <f t="shared" si="14"/>
        <v>449</v>
      </c>
      <c r="L450" s="19"/>
      <c r="M450" s="20"/>
    </row>
    <row r="451" s="17" customFormat="1" ht="21" customHeight="1" spans="1:13">
      <c r="A451" s="116">
        <f t="shared" si="13"/>
        <v>450</v>
      </c>
      <c r="B451" s="119" t="s">
        <v>523</v>
      </c>
      <c r="C451" s="19" t="s">
        <v>322</v>
      </c>
      <c r="D451" s="19" t="s">
        <v>18</v>
      </c>
      <c r="E451" s="124" t="s">
        <v>472</v>
      </c>
      <c r="F451" s="19" t="s">
        <v>16</v>
      </c>
      <c r="G451" s="118"/>
      <c r="H451" s="19"/>
      <c r="I451" s="118" t="s">
        <v>17</v>
      </c>
      <c r="J451" s="58">
        <v>37941</v>
      </c>
      <c r="K451" s="116">
        <f t="shared" si="14"/>
        <v>450</v>
      </c>
      <c r="L451" s="19"/>
      <c r="M451" s="20"/>
    </row>
    <row r="452" s="17" customFormat="1" ht="21" customHeight="1" spans="1:13">
      <c r="A452" s="116">
        <f t="shared" ref="A452:A515" si="15">ROW(L452)-1</f>
        <v>451</v>
      </c>
      <c r="B452" s="119">
        <v>1811800</v>
      </c>
      <c r="C452" s="19" t="s">
        <v>322</v>
      </c>
      <c r="D452" s="19" t="s">
        <v>82</v>
      </c>
      <c r="E452" s="124" t="s">
        <v>137</v>
      </c>
      <c r="F452" s="19" t="s">
        <v>65</v>
      </c>
      <c r="G452" s="118" t="s">
        <v>58</v>
      </c>
      <c r="H452" s="19"/>
      <c r="I452" s="118" t="s">
        <v>17</v>
      </c>
      <c r="J452" s="58">
        <v>37941</v>
      </c>
      <c r="K452" s="116">
        <f t="shared" si="14"/>
        <v>451</v>
      </c>
      <c r="L452" s="19"/>
      <c r="M452" s="20"/>
    </row>
    <row r="453" s="17" customFormat="1" ht="21" customHeight="1" spans="1:13">
      <c r="A453" s="116">
        <f t="shared" si="15"/>
        <v>452</v>
      </c>
      <c r="B453" s="119">
        <v>1811750</v>
      </c>
      <c r="C453" s="19" t="s">
        <v>322</v>
      </c>
      <c r="D453" s="19" t="s">
        <v>18</v>
      </c>
      <c r="E453" s="124" t="s">
        <v>524</v>
      </c>
      <c r="F453" s="19" t="s">
        <v>16</v>
      </c>
      <c r="G453" s="118"/>
      <c r="H453" s="19"/>
      <c r="I453" s="118" t="s">
        <v>17</v>
      </c>
      <c r="J453" s="58">
        <v>37941</v>
      </c>
      <c r="K453" s="116">
        <f t="shared" si="14"/>
        <v>452</v>
      </c>
      <c r="L453" s="19"/>
      <c r="M453" s="20"/>
    </row>
    <row r="454" s="17" customFormat="1" ht="21" customHeight="1" spans="1:13">
      <c r="A454" s="116">
        <f t="shared" si="15"/>
        <v>453</v>
      </c>
      <c r="B454" s="119">
        <v>1811750</v>
      </c>
      <c r="C454" s="19" t="s">
        <v>322</v>
      </c>
      <c r="D454" s="19" t="s">
        <v>18</v>
      </c>
      <c r="E454" s="124" t="s">
        <v>525</v>
      </c>
      <c r="F454" s="19" t="s">
        <v>16</v>
      </c>
      <c r="G454" s="118"/>
      <c r="H454" s="19"/>
      <c r="I454" s="118" t="s">
        <v>38</v>
      </c>
      <c r="J454" s="58">
        <v>37941</v>
      </c>
      <c r="K454" s="116">
        <f t="shared" si="14"/>
        <v>453</v>
      </c>
      <c r="L454" s="19"/>
      <c r="M454" s="20"/>
    </row>
    <row r="455" s="17" customFormat="1" ht="21" customHeight="1" spans="1:13">
      <c r="A455" s="116">
        <f t="shared" si="15"/>
        <v>454</v>
      </c>
      <c r="B455" s="119">
        <v>1811700</v>
      </c>
      <c r="C455" s="19" t="s">
        <v>322</v>
      </c>
      <c r="D455" s="19" t="s">
        <v>82</v>
      </c>
      <c r="E455" s="124" t="s">
        <v>136</v>
      </c>
      <c r="F455" s="19" t="s">
        <v>65</v>
      </c>
      <c r="G455" s="118" t="s">
        <v>58</v>
      </c>
      <c r="H455" s="19"/>
      <c r="I455" s="118" t="s">
        <v>17</v>
      </c>
      <c r="J455" s="58">
        <v>37941</v>
      </c>
      <c r="K455" s="116">
        <f t="shared" si="14"/>
        <v>454</v>
      </c>
      <c r="L455" s="19"/>
      <c r="M455" s="20"/>
    </row>
    <row r="456" s="17" customFormat="1" ht="21" customHeight="1" spans="1:13">
      <c r="A456" s="116">
        <f t="shared" si="15"/>
        <v>455</v>
      </c>
      <c r="B456" s="119" t="s">
        <v>526</v>
      </c>
      <c r="C456" s="19" t="s">
        <v>322</v>
      </c>
      <c r="D456" s="19" t="s">
        <v>18</v>
      </c>
      <c r="E456" s="124" t="s">
        <v>163</v>
      </c>
      <c r="F456" s="19" t="s">
        <v>16</v>
      </c>
      <c r="G456" s="118" t="s">
        <v>352</v>
      </c>
      <c r="H456" s="19"/>
      <c r="I456" s="118" t="s">
        <v>20</v>
      </c>
      <c r="J456" s="58">
        <v>37941</v>
      </c>
      <c r="K456" s="116">
        <f t="shared" si="14"/>
        <v>455</v>
      </c>
      <c r="L456" s="19"/>
      <c r="M456" s="20"/>
    </row>
    <row r="457" s="17" customFormat="1" ht="21" customHeight="1" spans="1:13">
      <c r="A457" s="116">
        <f t="shared" si="15"/>
        <v>456</v>
      </c>
      <c r="B457" s="119" t="s">
        <v>527</v>
      </c>
      <c r="C457" s="19" t="s">
        <v>322</v>
      </c>
      <c r="D457" s="19" t="s">
        <v>18</v>
      </c>
      <c r="E457" s="124" t="s">
        <v>528</v>
      </c>
      <c r="F457" s="19" t="s">
        <v>16</v>
      </c>
      <c r="G457" s="118" t="s">
        <v>529</v>
      </c>
      <c r="H457" s="19"/>
      <c r="I457" s="118" t="s">
        <v>36</v>
      </c>
      <c r="J457" s="58">
        <v>37941</v>
      </c>
      <c r="K457" s="116">
        <f t="shared" si="14"/>
        <v>456</v>
      </c>
      <c r="L457" s="19"/>
      <c r="M457" s="20"/>
    </row>
    <row r="458" s="17" customFormat="1" ht="21" customHeight="1" spans="1:13">
      <c r="A458" s="116">
        <f t="shared" si="15"/>
        <v>457</v>
      </c>
      <c r="B458" s="119" t="s">
        <v>530</v>
      </c>
      <c r="C458" s="19" t="s">
        <v>322</v>
      </c>
      <c r="D458" s="19" t="s">
        <v>18</v>
      </c>
      <c r="E458" s="124" t="s">
        <v>531</v>
      </c>
      <c r="F458" s="19" t="s">
        <v>16</v>
      </c>
      <c r="G458" s="118" t="s">
        <v>529</v>
      </c>
      <c r="H458" s="19"/>
      <c r="I458" s="118" t="s">
        <v>36</v>
      </c>
      <c r="J458" s="58">
        <v>37941</v>
      </c>
      <c r="K458" s="116">
        <f t="shared" si="14"/>
        <v>457</v>
      </c>
      <c r="L458" s="19"/>
      <c r="M458" s="20"/>
    </row>
    <row r="459" s="17" customFormat="1" ht="21" customHeight="1" spans="1:13">
      <c r="A459" s="116">
        <f t="shared" si="15"/>
        <v>458</v>
      </c>
      <c r="B459" s="119" t="s">
        <v>530</v>
      </c>
      <c r="C459" s="19" t="s">
        <v>322</v>
      </c>
      <c r="D459" s="19" t="s">
        <v>82</v>
      </c>
      <c r="E459" s="124" t="s">
        <v>111</v>
      </c>
      <c r="F459" s="19" t="s">
        <v>65</v>
      </c>
      <c r="G459" s="118" t="s">
        <v>112</v>
      </c>
      <c r="H459" s="19"/>
      <c r="I459" s="118" t="s">
        <v>17</v>
      </c>
      <c r="J459" s="58">
        <v>37941</v>
      </c>
      <c r="K459" s="116">
        <f t="shared" si="14"/>
        <v>458</v>
      </c>
      <c r="L459" s="19"/>
      <c r="M459" s="20"/>
    </row>
    <row r="460" s="17" customFormat="1" ht="21" customHeight="1" spans="1:13">
      <c r="A460" s="116">
        <f t="shared" si="15"/>
        <v>459</v>
      </c>
      <c r="B460" s="119" t="s">
        <v>532</v>
      </c>
      <c r="C460" s="19" t="s">
        <v>322</v>
      </c>
      <c r="D460" s="19" t="s">
        <v>82</v>
      </c>
      <c r="E460" s="124" t="s">
        <v>109</v>
      </c>
      <c r="F460" s="19" t="s">
        <v>65</v>
      </c>
      <c r="G460" s="118" t="s">
        <v>32</v>
      </c>
      <c r="H460" s="19"/>
      <c r="I460" s="118" t="s">
        <v>17</v>
      </c>
      <c r="J460" s="58">
        <v>37941</v>
      </c>
      <c r="K460" s="116">
        <f t="shared" si="14"/>
        <v>459</v>
      </c>
      <c r="L460" s="19"/>
      <c r="M460" s="20"/>
    </row>
    <row r="461" s="17" customFormat="1" ht="21" customHeight="1" spans="1:13">
      <c r="A461" s="116">
        <f t="shared" si="15"/>
        <v>460</v>
      </c>
      <c r="B461" s="119" t="s">
        <v>532</v>
      </c>
      <c r="C461" s="19" t="s">
        <v>322</v>
      </c>
      <c r="D461" s="19" t="s">
        <v>18</v>
      </c>
      <c r="E461" s="124" t="s">
        <v>533</v>
      </c>
      <c r="F461" s="19" t="s">
        <v>16</v>
      </c>
      <c r="G461" s="118"/>
      <c r="H461" s="19"/>
      <c r="I461" s="118" t="s">
        <v>17</v>
      </c>
      <c r="J461" s="58">
        <v>37941</v>
      </c>
      <c r="K461" s="116">
        <f t="shared" si="14"/>
        <v>460</v>
      </c>
      <c r="L461" s="19"/>
      <c r="M461" s="20"/>
    </row>
    <row r="462" s="17" customFormat="1" ht="21" customHeight="1" spans="1:13">
      <c r="A462" s="116">
        <f t="shared" si="15"/>
        <v>461</v>
      </c>
      <c r="B462" s="119" t="s">
        <v>534</v>
      </c>
      <c r="C462" s="19" t="s">
        <v>322</v>
      </c>
      <c r="D462" s="19" t="s">
        <v>18</v>
      </c>
      <c r="E462" s="124" t="s">
        <v>91</v>
      </c>
      <c r="F462" s="19" t="s">
        <v>216</v>
      </c>
      <c r="G462" s="118" t="s">
        <v>217</v>
      </c>
      <c r="H462" s="19"/>
      <c r="I462" s="118" t="s">
        <v>17</v>
      </c>
      <c r="J462" s="58">
        <v>37941</v>
      </c>
      <c r="K462" s="116">
        <f t="shared" si="14"/>
        <v>461</v>
      </c>
      <c r="L462" s="19"/>
      <c r="M462" s="20"/>
    </row>
    <row r="463" s="17" customFormat="1" ht="21" customHeight="1" spans="1:13">
      <c r="A463" s="116">
        <f t="shared" si="15"/>
        <v>462</v>
      </c>
      <c r="B463" s="119">
        <v>1810900</v>
      </c>
      <c r="C463" s="19" t="s">
        <v>322</v>
      </c>
      <c r="D463" s="19" t="s">
        <v>18</v>
      </c>
      <c r="E463" s="124" t="s">
        <v>535</v>
      </c>
      <c r="F463" s="19" t="s">
        <v>16</v>
      </c>
      <c r="G463" s="118"/>
      <c r="H463" s="19"/>
      <c r="I463" s="118" t="s">
        <v>20</v>
      </c>
      <c r="J463" s="58">
        <v>37941</v>
      </c>
      <c r="K463" s="116">
        <f t="shared" si="14"/>
        <v>462</v>
      </c>
      <c r="L463" s="19"/>
      <c r="M463" s="20"/>
    </row>
    <row r="464" s="17" customFormat="1" ht="21" customHeight="1" spans="1:13">
      <c r="A464" s="116">
        <f t="shared" si="15"/>
        <v>463</v>
      </c>
      <c r="B464" s="119" t="s">
        <v>536</v>
      </c>
      <c r="C464" s="19" t="s">
        <v>322</v>
      </c>
      <c r="D464" s="19" t="s">
        <v>18</v>
      </c>
      <c r="E464" s="124" t="s">
        <v>537</v>
      </c>
      <c r="F464" s="19" t="s">
        <v>16</v>
      </c>
      <c r="G464" s="118" t="s">
        <v>538</v>
      </c>
      <c r="H464" s="19"/>
      <c r="I464" s="118" t="s">
        <v>36</v>
      </c>
      <c r="J464" s="58">
        <v>37941</v>
      </c>
      <c r="K464" s="116">
        <f t="shared" si="14"/>
        <v>463</v>
      </c>
      <c r="L464" s="19"/>
      <c r="M464" s="20"/>
    </row>
    <row r="465" s="17" customFormat="1" ht="21" customHeight="1" spans="1:13">
      <c r="A465" s="116">
        <f t="shared" si="15"/>
        <v>464</v>
      </c>
      <c r="B465" s="119" t="s">
        <v>539</v>
      </c>
      <c r="C465" s="19" t="s">
        <v>322</v>
      </c>
      <c r="D465" s="19" t="s">
        <v>18</v>
      </c>
      <c r="E465" s="124" t="s">
        <v>540</v>
      </c>
      <c r="F465" s="19" t="s">
        <v>16</v>
      </c>
      <c r="G465" s="118"/>
      <c r="H465" s="19"/>
      <c r="I465" s="118" t="s">
        <v>17</v>
      </c>
      <c r="J465" s="58">
        <v>37941</v>
      </c>
      <c r="K465" s="116">
        <f t="shared" si="14"/>
        <v>464</v>
      </c>
      <c r="L465" s="19"/>
      <c r="M465" s="20"/>
    </row>
    <row r="466" s="17" customFormat="1" ht="21" customHeight="1" spans="1:13">
      <c r="A466" s="116">
        <f t="shared" si="15"/>
        <v>465</v>
      </c>
      <c r="B466" s="119" t="s">
        <v>541</v>
      </c>
      <c r="C466" s="19" t="s">
        <v>322</v>
      </c>
      <c r="D466" s="19" t="s">
        <v>18</v>
      </c>
      <c r="E466" s="124" t="s">
        <v>542</v>
      </c>
      <c r="F466" s="19" t="s">
        <v>16</v>
      </c>
      <c r="G466" s="118" t="s">
        <v>488</v>
      </c>
      <c r="H466" s="19"/>
      <c r="I466" s="118" t="s">
        <v>36</v>
      </c>
      <c r="J466" s="58">
        <v>37941</v>
      </c>
      <c r="K466" s="116">
        <f t="shared" si="14"/>
        <v>465</v>
      </c>
      <c r="L466" s="19"/>
      <c r="M466" s="20"/>
    </row>
    <row r="467" s="17" customFormat="1" ht="21" customHeight="1" spans="1:13">
      <c r="A467" s="116">
        <f t="shared" si="15"/>
        <v>466</v>
      </c>
      <c r="B467" s="119" t="s">
        <v>543</v>
      </c>
      <c r="C467" s="19" t="s">
        <v>322</v>
      </c>
      <c r="D467" s="19" t="s">
        <v>18</v>
      </c>
      <c r="E467" s="124" t="s">
        <v>544</v>
      </c>
      <c r="F467" s="19" t="s">
        <v>16</v>
      </c>
      <c r="G467" s="118" t="s">
        <v>488</v>
      </c>
      <c r="H467" s="19"/>
      <c r="I467" s="118" t="s">
        <v>36</v>
      </c>
      <c r="J467" s="58">
        <v>37941</v>
      </c>
      <c r="K467" s="116">
        <f t="shared" si="14"/>
        <v>466</v>
      </c>
      <c r="L467" s="19"/>
      <c r="M467" s="20"/>
    </row>
    <row r="468" s="17" customFormat="1" ht="21" customHeight="1" spans="1:13">
      <c r="A468" s="116">
        <f t="shared" si="15"/>
        <v>467</v>
      </c>
      <c r="B468" s="119">
        <v>1809750</v>
      </c>
      <c r="C468" s="19" t="s">
        <v>322</v>
      </c>
      <c r="D468" s="19" t="s">
        <v>18</v>
      </c>
      <c r="E468" s="124" t="s">
        <v>427</v>
      </c>
      <c r="F468" s="19" t="s">
        <v>16</v>
      </c>
      <c r="G468" s="118"/>
      <c r="H468" s="19"/>
      <c r="I468" s="118" t="s">
        <v>38</v>
      </c>
      <c r="J468" s="58">
        <v>37941</v>
      </c>
      <c r="K468" s="116">
        <f t="shared" si="14"/>
        <v>467</v>
      </c>
      <c r="L468" s="19"/>
      <c r="M468" s="20"/>
    </row>
    <row r="469" s="17" customFormat="1" ht="21" customHeight="1" spans="1:13">
      <c r="A469" s="116">
        <f t="shared" si="15"/>
        <v>468</v>
      </c>
      <c r="B469" s="119" t="s">
        <v>545</v>
      </c>
      <c r="C469" s="19" t="s">
        <v>322</v>
      </c>
      <c r="D469" s="19" t="s">
        <v>18</v>
      </c>
      <c r="E469" s="124" t="s">
        <v>546</v>
      </c>
      <c r="F469" s="19" t="s">
        <v>16</v>
      </c>
      <c r="G469" s="118" t="s">
        <v>488</v>
      </c>
      <c r="H469" s="19"/>
      <c r="I469" s="118" t="s">
        <v>36</v>
      </c>
      <c r="J469" s="58">
        <v>37941</v>
      </c>
      <c r="K469" s="116">
        <f t="shared" si="14"/>
        <v>468</v>
      </c>
      <c r="L469" s="19"/>
      <c r="M469" s="20"/>
    </row>
    <row r="470" s="17" customFormat="1" ht="21" customHeight="1" spans="1:13">
      <c r="A470" s="116">
        <f t="shared" si="15"/>
        <v>469</v>
      </c>
      <c r="B470" s="119">
        <v>1806850</v>
      </c>
      <c r="C470" s="19" t="s">
        <v>322</v>
      </c>
      <c r="D470" s="19" t="s">
        <v>82</v>
      </c>
      <c r="E470" s="124" t="s">
        <v>64</v>
      </c>
      <c r="F470" s="19" t="s">
        <v>65</v>
      </c>
      <c r="G470" s="118" t="s">
        <v>58</v>
      </c>
      <c r="H470" s="19"/>
      <c r="I470" s="118" t="s">
        <v>17</v>
      </c>
      <c r="J470" s="58">
        <v>37941</v>
      </c>
      <c r="K470" s="116">
        <f t="shared" si="14"/>
        <v>469</v>
      </c>
      <c r="L470" s="19"/>
      <c r="M470" s="20"/>
    </row>
    <row r="471" s="17" customFormat="1" ht="21" customHeight="1" spans="1:13">
      <c r="A471" s="116">
        <f t="shared" si="15"/>
        <v>470</v>
      </c>
      <c r="B471" s="119">
        <v>1806800</v>
      </c>
      <c r="C471" s="19" t="s">
        <v>322</v>
      </c>
      <c r="D471" s="19" t="s">
        <v>82</v>
      </c>
      <c r="E471" s="124" t="s">
        <v>57</v>
      </c>
      <c r="F471" s="19" t="s">
        <v>65</v>
      </c>
      <c r="G471" s="118" t="s">
        <v>58</v>
      </c>
      <c r="H471" s="19"/>
      <c r="I471" s="118" t="s">
        <v>17</v>
      </c>
      <c r="J471" s="58">
        <v>37941</v>
      </c>
      <c r="K471" s="116">
        <f t="shared" si="14"/>
        <v>470</v>
      </c>
      <c r="L471" s="19"/>
      <c r="M471" s="20"/>
    </row>
    <row r="472" s="17" customFormat="1" ht="21" customHeight="1" spans="1:13">
      <c r="A472" s="116">
        <f t="shared" si="15"/>
        <v>471</v>
      </c>
      <c r="B472" s="119" t="s">
        <v>547</v>
      </c>
      <c r="C472" s="19" t="s">
        <v>322</v>
      </c>
      <c r="D472" s="19" t="s">
        <v>18</v>
      </c>
      <c r="E472" s="124" t="s">
        <v>520</v>
      </c>
      <c r="F472" s="19" t="s">
        <v>16</v>
      </c>
      <c r="G472" s="118" t="s">
        <v>416</v>
      </c>
      <c r="H472" s="19"/>
      <c r="I472" s="118" t="s">
        <v>20</v>
      </c>
      <c r="J472" s="58">
        <v>37941</v>
      </c>
      <c r="K472" s="116">
        <f t="shared" si="14"/>
        <v>471</v>
      </c>
      <c r="L472" s="19"/>
      <c r="M472" s="20"/>
    </row>
    <row r="473" s="17" customFormat="1" ht="21" customHeight="1" spans="1:13">
      <c r="A473" s="116">
        <f t="shared" si="15"/>
        <v>472</v>
      </c>
      <c r="B473" s="119" t="s">
        <v>548</v>
      </c>
      <c r="C473" s="19" t="s">
        <v>322</v>
      </c>
      <c r="D473" s="19" t="s">
        <v>18</v>
      </c>
      <c r="E473" s="124" t="s">
        <v>139</v>
      </c>
      <c r="F473" s="19" t="s">
        <v>31</v>
      </c>
      <c r="G473" s="118" t="s">
        <v>148</v>
      </c>
      <c r="H473" s="19"/>
      <c r="I473" s="118" t="s">
        <v>17</v>
      </c>
      <c r="J473" s="58">
        <v>37941</v>
      </c>
      <c r="K473" s="116">
        <f t="shared" si="14"/>
        <v>472</v>
      </c>
      <c r="L473" s="19"/>
      <c r="M473" s="20"/>
    </row>
    <row r="474" s="17" customFormat="1" ht="21" customHeight="1" spans="1:13">
      <c r="A474" s="116">
        <f t="shared" si="15"/>
        <v>473</v>
      </c>
      <c r="B474" s="119" t="s">
        <v>549</v>
      </c>
      <c r="C474" s="19" t="s">
        <v>322</v>
      </c>
      <c r="D474" s="19" t="s">
        <v>18</v>
      </c>
      <c r="E474" s="124" t="s">
        <v>138</v>
      </c>
      <c r="F474" s="19" t="s">
        <v>31</v>
      </c>
      <c r="G474" s="118" t="s">
        <v>148</v>
      </c>
      <c r="H474" s="19"/>
      <c r="I474" s="118" t="s">
        <v>17</v>
      </c>
      <c r="J474" s="58">
        <v>37941</v>
      </c>
      <c r="K474" s="116">
        <f t="shared" si="14"/>
        <v>473</v>
      </c>
      <c r="L474" s="19"/>
      <c r="M474" s="20"/>
    </row>
    <row r="475" s="17" customFormat="1" ht="21" customHeight="1" spans="1:13">
      <c r="A475" s="116">
        <f t="shared" si="15"/>
        <v>474</v>
      </c>
      <c r="B475" s="119" t="s">
        <v>550</v>
      </c>
      <c r="C475" s="19" t="s">
        <v>322</v>
      </c>
      <c r="D475" s="19" t="s">
        <v>18</v>
      </c>
      <c r="E475" s="124" t="s">
        <v>232</v>
      </c>
      <c r="F475" s="19" t="s">
        <v>31</v>
      </c>
      <c r="G475" s="118" t="s">
        <v>148</v>
      </c>
      <c r="H475" s="19"/>
      <c r="I475" s="118" t="s">
        <v>17</v>
      </c>
      <c r="J475" s="58">
        <v>37941</v>
      </c>
      <c r="K475" s="116">
        <f t="shared" si="14"/>
        <v>474</v>
      </c>
      <c r="L475" s="19"/>
      <c r="M475" s="20"/>
    </row>
    <row r="476" s="17" customFormat="1" ht="21" customHeight="1" spans="1:13">
      <c r="A476" s="116">
        <f t="shared" si="15"/>
        <v>475</v>
      </c>
      <c r="B476" s="119" t="s">
        <v>551</v>
      </c>
      <c r="C476" s="19" t="s">
        <v>322</v>
      </c>
      <c r="D476" s="19" t="s">
        <v>82</v>
      </c>
      <c r="E476" s="124" t="s">
        <v>64</v>
      </c>
      <c r="F476" s="19" t="s">
        <v>65</v>
      </c>
      <c r="G476" s="118" t="s">
        <v>148</v>
      </c>
      <c r="H476" s="19"/>
      <c r="I476" s="118" t="s">
        <v>17</v>
      </c>
      <c r="J476" s="58">
        <v>37941</v>
      </c>
      <c r="K476" s="116">
        <f t="shared" si="14"/>
        <v>475</v>
      </c>
      <c r="L476" s="19"/>
      <c r="M476" s="20"/>
    </row>
    <row r="477" s="17" customFormat="1" ht="21" customHeight="1" spans="1:13">
      <c r="A477" s="116">
        <f t="shared" si="15"/>
        <v>476</v>
      </c>
      <c r="B477" s="119">
        <v>1804900</v>
      </c>
      <c r="C477" s="19" t="s">
        <v>322</v>
      </c>
      <c r="D477" s="19" t="s">
        <v>82</v>
      </c>
      <c r="E477" s="124" t="s">
        <v>57</v>
      </c>
      <c r="F477" s="19" t="s">
        <v>65</v>
      </c>
      <c r="G477" s="118" t="s">
        <v>58</v>
      </c>
      <c r="H477" s="19"/>
      <c r="I477" s="118" t="s">
        <v>17</v>
      </c>
      <c r="J477" s="58">
        <v>37941</v>
      </c>
      <c r="K477" s="116">
        <f t="shared" si="14"/>
        <v>476</v>
      </c>
      <c r="L477" s="19"/>
      <c r="M477" s="20"/>
    </row>
    <row r="478" s="17" customFormat="1" ht="21" customHeight="1" spans="1:13">
      <c r="A478" s="116">
        <f t="shared" si="15"/>
        <v>477</v>
      </c>
      <c r="B478" s="119" t="s">
        <v>552</v>
      </c>
      <c r="C478" s="19" t="s">
        <v>322</v>
      </c>
      <c r="D478" s="19" t="s">
        <v>18</v>
      </c>
      <c r="E478" s="124" t="s">
        <v>520</v>
      </c>
      <c r="F478" s="19" t="s">
        <v>16</v>
      </c>
      <c r="G478" s="118" t="s">
        <v>416</v>
      </c>
      <c r="H478" s="19"/>
      <c r="I478" s="118" t="s">
        <v>20</v>
      </c>
      <c r="J478" s="58">
        <v>37941</v>
      </c>
      <c r="K478" s="116">
        <f t="shared" si="14"/>
        <v>477</v>
      </c>
      <c r="L478" s="19"/>
      <c r="M478" s="20"/>
    </row>
    <row r="479" s="17" customFormat="1" ht="21" customHeight="1" spans="1:13">
      <c r="A479" s="116">
        <f t="shared" si="15"/>
        <v>478</v>
      </c>
      <c r="B479" s="119" t="s">
        <v>553</v>
      </c>
      <c r="C479" s="19" t="s">
        <v>322</v>
      </c>
      <c r="D479" s="19" t="s">
        <v>18</v>
      </c>
      <c r="E479" s="124" t="s">
        <v>554</v>
      </c>
      <c r="F479" s="19" t="s">
        <v>16</v>
      </c>
      <c r="G479" s="118" t="s">
        <v>555</v>
      </c>
      <c r="H479" s="19"/>
      <c r="I479" s="118" t="s">
        <v>36</v>
      </c>
      <c r="J479" s="58">
        <v>37941</v>
      </c>
      <c r="K479" s="116">
        <f t="shared" si="14"/>
        <v>478</v>
      </c>
      <c r="L479" s="19"/>
      <c r="M479" s="20"/>
    </row>
    <row r="480" s="17" customFormat="1" ht="21" customHeight="1" spans="1:13">
      <c r="A480" s="116">
        <f t="shared" si="15"/>
        <v>479</v>
      </c>
      <c r="B480" s="119" t="s">
        <v>556</v>
      </c>
      <c r="C480" s="19" t="s">
        <v>322</v>
      </c>
      <c r="D480" s="19" t="s">
        <v>18</v>
      </c>
      <c r="E480" s="124" t="s">
        <v>88</v>
      </c>
      <c r="F480" s="19" t="s">
        <v>16</v>
      </c>
      <c r="G480" s="118" t="s">
        <v>447</v>
      </c>
      <c r="H480" s="19"/>
      <c r="I480" s="118" t="s">
        <v>17</v>
      </c>
      <c r="J480" s="58">
        <v>37941</v>
      </c>
      <c r="K480" s="116">
        <f t="shared" si="14"/>
        <v>479</v>
      </c>
      <c r="L480" s="19"/>
      <c r="M480" s="20"/>
    </row>
    <row r="481" s="17" customFormat="1" ht="21" customHeight="1" spans="1:13">
      <c r="A481" s="116">
        <f t="shared" si="15"/>
        <v>480</v>
      </c>
      <c r="B481" s="119" t="s">
        <v>557</v>
      </c>
      <c r="C481" s="19" t="s">
        <v>322</v>
      </c>
      <c r="D481" s="19" t="s">
        <v>18</v>
      </c>
      <c r="E481" s="124" t="s">
        <v>558</v>
      </c>
      <c r="F481" s="19" t="s">
        <v>16</v>
      </c>
      <c r="G481" s="118" t="s">
        <v>555</v>
      </c>
      <c r="H481" s="19"/>
      <c r="I481" s="118" t="s">
        <v>36</v>
      </c>
      <c r="J481" s="58">
        <v>37941</v>
      </c>
      <c r="K481" s="116">
        <f t="shared" si="14"/>
        <v>480</v>
      </c>
      <c r="L481" s="19"/>
      <c r="M481" s="20"/>
    </row>
    <row r="482" s="17" customFormat="1" ht="21" customHeight="1" spans="1:13">
      <c r="A482" s="116">
        <f t="shared" si="15"/>
        <v>481</v>
      </c>
      <c r="B482" s="119" t="s">
        <v>559</v>
      </c>
      <c r="C482" s="19" t="s">
        <v>322</v>
      </c>
      <c r="D482" s="19" t="s">
        <v>18</v>
      </c>
      <c r="E482" s="124" t="s">
        <v>124</v>
      </c>
      <c r="F482" s="19" t="s">
        <v>16</v>
      </c>
      <c r="G482" s="118" t="s">
        <v>560</v>
      </c>
      <c r="H482" s="19"/>
      <c r="I482" s="118" t="s">
        <v>20</v>
      </c>
      <c r="J482" s="58">
        <v>37941</v>
      </c>
      <c r="K482" s="116">
        <f t="shared" si="14"/>
        <v>481</v>
      </c>
      <c r="L482" s="19"/>
      <c r="M482" s="20"/>
    </row>
    <row r="483" s="17" customFormat="1" ht="21" customHeight="1" spans="1:13">
      <c r="A483" s="116">
        <f t="shared" si="15"/>
        <v>482</v>
      </c>
      <c r="B483" s="119">
        <v>1801100</v>
      </c>
      <c r="C483" s="19" t="s">
        <v>322</v>
      </c>
      <c r="D483" s="19" t="s">
        <v>18</v>
      </c>
      <c r="E483" s="124" t="s">
        <v>163</v>
      </c>
      <c r="F483" s="19" t="s">
        <v>16</v>
      </c>
      <c r="G483" s="118" t="s">
        <v>352</v>
      </c>
      <c r="H483" s="19"/>
      <c r="I483" s="118" t="s">
        <v>20</v>
      </c>
      <c r="J483" s="58">
        <v>37941</v>
      </c>
      <c r="K483" s="116">
        <f t="shared" si="14"/>
        <v>482</v>
      </c>
      <c r="L483" s="19"/>
      <c r="M483" s="20"/>
    </row>
    <row r="484" s="17" customFormat="1" ht="21" customHeight="1" spans="1:13">
      <c r="A484" s="116">
        <f t="shared" si="15"/>
        <v>483</v>
      </c>
      <c r="B484" s="119" t="s">
        <v>561</v>
      </c>
      <c r="C484" s="19" t="s">
        <v>322</v>
      </c>
      <c r="D484" s="19" t="s">
        <v>18</v>
      </c>
      <c r="E484" s="124" t="s">
        <v>562</v>
      </c>
      <c r="F484" s="19" t="s">
        <v>16</v>
      </c>
      <c r="G484" s="118" t="s">
        <v>380</v>
      </c>
      <c r="H484" s="19"/>
      <c r="I484" s="118" t="s">
        <v>81</v>
      </c>
      <c r="J484" s="58">
        <v>37941</v>
      </c>
      <c r="K484" s="116">
        <f t="shared" si="14"/>
        <v>483</v>
      </c>
      <c r="L484" s="19"/>
      <c r="M484" s="20"/>
    </row>
    <row r="485" s="17" customFormat="1" ht="21" customHeight="1" spans="1:13">
      <c r="A485" s="116">
        <f t="shared" si="15"/>
        <v>484</v>
      </c>
      <c r="B485" s="119" t="s">
        <v>563</v>
      </c>
      <c r="C485" s="19" t="s">
        <v>322</v>
      </c>
      <c r="D485" s="19" t="s">
        <v>18</v>
      </c>
      <c r="E485" s="124" t="s">
        <v>244</v>
      </c>
      <c r="F485" s="19" t="s">
        <v>16</v>
      </c>
      <c r="G485" s="118" t="s">
        <v>437</v>
      </c>
      <c r="H485" s="19"/>
      <c r="I485" s="118" t="s">
        <v>36</v>
      </c>
      <c r="J485" s="58">
        <v>37941</v>
      </c>
      <c r="K485" s="116">
        <f t="shared" si="14"/>
        <v>484</v>
      </c>
      <c r="L485" s="19"/>
      <c r="M485" s="20"/>
    </row>
    <row r="486" s="17" customFormat="1" ht="21" customHeight="1" spans="1:13">
      <c r="A486" s="116">
        <f t="shared" si="15"/>
        <v>485</v>
      </c>
      <c r="B486" s="119" t="s">
        <v>564</v>
      </c>
      <c r="C486" s="19" t="s">
        <v>322</v>
      </c>
      <c r="D486" s="19" t="s">
        <v>18</v>
      </c>
      <c r="E486" s="124" t="s">
        <v>427</v>
      </c>
      <c r="F486" s="19" t="s">
        <v>16</v>
      </c>
      <c r="G486" s="118" t="s">
        <v>191</v>
      </c>
      <c r="H486" s="19"/>
      <c r="I486" s="118" t="s">
        <v>38</v>
      </c>
      <c r="J486" s="58">
        <v>37941</v>
      </c>
      <c r="K486" s="116">
        <f t="shared" si="14"/>
        <v>485</v>
      </c>
      <c r="L486" s="19"/>
      <c r="M486" s="20"/>
    </row>
    <row r="487" s="17" customFormat="1" ht="21" customHeight="1" spans="1:13">
      <c r="A487" s="116">
        <f t="shared" si="15"/>
        <v>486</v>
      </c>
      <c r="B487" s="119" t="s">
        <v>565</v>
      </c>
      <c r="C487" s="19" t="s">
        <v>322</v>
      </c>
      <c r="D487" s="19" t="s">
        <v>18</v>
      </c>
      <c r="E487" s="124" t="s">
        <v>467</v>
      </c>
      <c r="F487" s="19" t="s">
        <v>16</v>
      </c>
      <c r="G487" s="118" t="s">
        <v>468</v>
      </c>
      <c r="H487" s="19"/>
      <c r="I487" s="118" t="s">
        <v>36</v>
      </c>
      <c r="J487" s="58">
        <v>37941</v>
      </c>
      <c r="K487" s="116">
        <f t="shared" si="14"/>
        <v>486</v>
      </c>
      <c r="L487" s="19"/>
      <c r="M487" s="20"/>
    </row>
    <row r="488" s="17" customFormat="1" ht="21" customHeight="1" spans="1:13">
      <c r="A488" s="116">
        <f t="shared" si="15"/>
        <v>487</v>
      </c>
      <c r="B488" s="119" t="s">
        <v>566</v>
      </c>
      <c r="C488" s="19" t="s">
        <v>322</v>
      </c>
      <c r="D488" s="19" t="s">
        <v>18</v>
      </c>
      <c r="E488" s="124" t="s">
        <v>470</v>
      </c>
      <c r="F488" s="19" t="s">
        <v>16</v>
      </c>
      <c r="G488" s="118" t="s">
        <v>468</v>
      </c>
      <c r="H488" s="19"/>
      <c r="I488" s="118" t="s">
        <v>36</v>
      </c>
      <c r="J488" s="58">
        <v>37941</v>
      </c>
      <c r="K488" s="116">
        <f t="shared" si="14"/>
        <v>487</v>
      </c>
      <c r="L488" s="19"/>
      <c r="M488" s="20"/>
    </row>
    <row r="489" s="17" customFormat="1" ht="21" customHeight="1" spans="1:13">
      <c r="A489" s="116">
        <f t="shared" si="15"/>
        <v>488</v>
      </c>
      <c r="B489" s="119" t="s">
        <v>567</v>
      </c>
      <c r="C489" s="19" t="s">
        <v>322</v>
      </c>
      <c r="D489" s="19" t="s">
        <v>18</v>
      </c>
      <c r="E489" s="124" t="s">
        <v>472</v>
      </c>
      <c r="F489" s="19" t="s">
        <v>16</v>
      </c>
      <c r="G489" s="118" t="s">
        <v>468</v>
      </c>
      <c r="H489" s="19"/>
      <c r="I489" s="118" t="s">
        <v>36</v>
      </c>
      <c r="J489" s="58">
        <v>37941</v>
      </c>
      <c r="K489" s="116">
        <f t="shared" si="14"/>
        <v>488</v>
      </c>
      <c r="L489" s="19"/>
      <c r="M489" s="20"/>
    </row>
    <row r="490" s="17" customFormat="1" ht="21" customHeight="1" spans="1:13">
      <c r="A490" s="116">
        <f t="shared" si="15"/>
        <v>489</v>
      </c>
      <c r="B490" s="119" t="s">
        <v>568</v>
      </c>
      <c r="C490" s="19" t="s">
        <v>322</v>
      </c>
      <c r="D490" s="19" t="s">
        <v>18</v>
      </c>
      <c r="E490" s="124" t="s">
        <v>476</v>
      </c>
      <c r="F490" s="19" t="s">
        <v>16</v>
      </c>
      <c r="G490" s="118" t="s">
        <v>477</v>
      </c>
      <c r="H490" s="19"/>
      <c r="I490" s="118" t="s">
        <v>36</v>
      </c>
      <c r="J490" s="58">
        <v>37941</v>
      </c>
      <c r="K490" s="116">
        <f t="shared" si="14"/>
        <v>489</v>
      </c>
      <c r="L490" s="19"/>
      <c r="M490" s="20"/>
    </row>
    <row r="491" s="17" customFormat="1" ht="21" customHeight="1" spans="1:13">
      <c r="A491" s="116">
        <f t="shared" si="15"/>
        <v>490</v>
      </c>
      <c r="B491" s="119" t="s">
        <v>569</v>
      </c>
      <c r="C491" s="19" t="s">
        <v>322</v>
      </c>
      <c r="D491" s="19" t="s">
        <v>18</v>
      </c>
      <c r="E491" s="124" t="s">
        <v>479</v>
      </c>
      <c r="F491" s="19" t="s">
        <v>16</v>
      </c>
      <c r="G491" s="118" t="s">
        <v>477</v>
      </c>
      <c r="H491" s="19"/>
      <c r="I491" s="118" t="s">
        <v>36</v>
      </c>
      <c r="J491" s="58">
        <v>37941</v>
      </c>
      <c r="K491" s="116">
        <f t="shared" si="14"/>
        <v>490</v>
      </c>
      <c r="L491" s="19"/>
      <c r="M491" s="20"/>
    </row>
    <row r="492" s="17" customFormat="1" ht="21" customHeight="1" spans="1:13">
      <c r="A492" s="116">
        <f t="shared" si="15"/>
        <v>491</v>
      </c>
      <c r="B492" s="119" t="s">
        <v>570</v>
      </c>
      <c r="C492" s="19" t="s">
        <v>322</v>
      </c>
      <c r="D492" s="19" t="s">
        <v>18</v>
      </c>
      <c r="E492" s="124" t="s">
        <v>165</v>
      </c>
      <c r="F492" s="19" t="s">
        <v>31</v>
      </c>
      <c r="G492" s="118" t="s">
        <v>40</v>
      </c>
      <c r="H492" s="19"/>
      <c r="I492" s="118" t="s">
        <v>17</v>
      </c>
      <c r="J492" s="58">
        <v>37941</v>
      </c>
      <c r="K492" s="116">
        <f t="shared" si="14"/>
        <v>491</v>
      </c>
      <c r="L492" s="19"/>
      <c r="M492" s="20"/>
    </row>
    <row r="493" s="17" customFormat="1" ht="21" customHeight="1" spans="1:13">
      <c r="A493" s="116">
        <f t="shared" si="15"/>
        <v>492</v>
      </c>
      <c r="B493" s="119" t="s">
        <v>571</v>
      </c>
      <c r="C493" s="19" t="s">
        <v>322</v>
      </c>
      <c r="D493" s="19" t="s">
        <v>18</v>
      </c>
      <c r="E493" s="124" t="s">
        <v>164</v>
      </c>
      <c r="F493" s="19" t="s">
        <v>16</v>
      </c>
      <c r="G493" s="118" t="s">
        <v>148</v>
      </c>
      <c r="H493" s="19"/>
      <c r="I493" s="118" t="s">
        <v>17</v>
      </c>
      <c r="J493" s="58">
        <v>37941</v>
      </c>
      <c r="K493" s="116">
        <f t="shared" si="14"/>
        <v>492</v>
      </c>
      <c r="L493" s="19"/>
      <c r="M493" s="20"/>
    </row>
    <row r="494" s="17" customFormat="1" ht="21" customHeight="1" spans="1:13">
      <c r="A494" s="116">
        <f t="shared" si="15"/>
        <v>493</v>
      </c>
      <c r="B494" s="119" t="s">
        <v>572</v>
      </c>
      <c r="C494" s="19" t="s">
        <v>322</v>
      </c>
      <c r="D494" s="19" t="s">
        <v>18</v>
      </c>
      <c r="E494" s="124" t="s">
        <v>573</v>
      </c>
      <c r="F494" s="19" t="s">
        <v>16</v>
      </c>
      <c r="G494" s="118" t="s">
        <v>386</v>
      </c>
      <c r="H494" s="19"/>
      <c r="I494" s="118" t="s">
        <v>17</v>
      </c>
      <c r="J494" s="58">
        <v>37941</v>
      </c>
      <c r="K494" s="116">
        <f t="shared" si="14"/>
        <v>493</v>
      </c>
      <c r="L494" s="19"/>
      <c r="M494" s="20"/>
    </row>
    <row r="495" s="17" customFormat="1" ht="21" customHeight="1" spans="1:13">
      <c r="A495" s="116">
        <f t="shared" si="15"/>
        <v>494</v>
      </c>
      <c r="B495" s="119">
        <v>1798400</v>
      </c>
      <c r="C495" s="19" t="s">
        <v>322</v>
      </c>
      <c r="D495" s="19" t="s">
        <v>18</v>
      </c>
      <c r="E495" s="124" t="s">
        <v>64</v>
      </c>
      <c r="F495" s="19" t="s">
        <v>65</v>
      </c>
      <c r="G495" s="118" t="s">
        <v>58</v>
      </c>
      <c r="H495" s="19"/>
      <c r="I495" s="118" t="s">
        <v>17</v>
      </c>
      <c r="J495" s="58">
        <v>37941</v>
      </c>
      <c r="K495" s="116">
        <f t="shared" si="14"/>
        <v>494</v>
      </c>
      <c r="L495" s="19"/>
      <c r="M495" s="20"/>
    </row>
    <row r="496" s="17" customFormat="1" ht="21" customHeight="1" spans="1:13">
      <c r="A496" s="116">
        <f t="shared" si="15"/>
        <v>495</v>
      </c>
      <c r="B496" s="119" t="s">
        <v>574</v>
      </c>
      <c r="C496" s="19" t="s">
        <v>322</v>
      </c>
      <c r="D496" s="19" t="s">
        <v>18</v>
      </c>
      <c r="E496" s="124" t="s">
        <v>57</v>
      </c>
      <c r="F496" s="19" t="s">
        <v>65</v>
      </c>
      <c r="G496" s="118" t="s">
        <v>58</v>
      </c>
      <c r="H496" s="19"/>
      <c r="I496" s="118" t="s">
        <v>17</v>
      </c>
      <c r="J496" s="58">
        <v>37941</v>
      </c>
      <c r="K496" s="116">
        <f t="shared" si="14"/>
        <v>495</v>
      </c>
      <c r="L496" s="19"/>
      <c r="M496" s="20"/>
    </row>
    <row r="497" s="17" customFormat="1" ht="21" customHeight="1" spans="1:13">
      <c r="A497" s="116">
        <f t="shared" si="15"/>
        <v>496</v>
      </c>
      <c r="B497" s="119" t="s">
        <v>575</v>
      </c>
      <c r="C497" s="19" t="s">
        <v>322</v>
      </c>
      <c r="D497" s="19" t="s">
        <v>18</v>
      </c>
      <c r="E497" s="124" t="s">
        <v>120</v>
      </c>
      <c r="F497" s="19" t="s">
        <v>16</v>
      </c>
      <c r="G497" s="118" t="s">
        <v>576</v>
      </c>
      <c r="H497" s="19"/>
      <c r="I497" s="118" t="s">
        <v>36</v>
      </c>
      <c r="J497" s="58">
        <v>37941</v>
      </c>
      <c r="K497" s="116">
        <f t="shared" si="14"/>
        <v>496</v>
      </c>
      <c r="L497" s="19"/>
      <c r="M497" s="20"/>
    </row>
    <row r="498" s="17" customFormat="1" ht="21" customHeight="1" spans="1:13">
      <c r="A498" s="116">
        <f t="shared" si="15"/>
        <v>497</v>
      </c>
      <c r="B498" s="119" t="s">
        <v>577</v>
      </c>
      <c r="C498" s="19" t="s">
        <v>322</v>
      </c>
      <c r="D498" s="19" t="s">
        <v>18</v>
      </c>
      <c r="E498" s="124" t="s">
        <v>276</v>
      </c>
      <c r="F498" s="19" t="s">
        <v>16</v>
      </c>
      <c r="G498" s="118" t="s">
        <v>529</v>
      </c>
      <c r="H498" s="19"/>
      <c r="I498" s="118" t="s">
        <v>36</v>
      </c>
      <c r="J498" s="58">
        <v>37941</v>
      </c>
      <c r="K498" s="116">
        <f t="shared" si="14"/>
        <v>497</v>
      </c>
      <c r="L498" s="19"/>
      <c r="M498" s="20"/>
    </row>
    <row r="499" s="17" customFormat="1" ht="21" customHeight="1" spans="1:13">
      <c r="A499" s="116">
        <f t="shared" si="15"/>
        <v>498</v>
      </c>
      <c r="B499" s="119" t="s">
        <v>578</v>
      </c>
      <c r="C499" s="19" t="s">
        <v>322</v>
      </c>
      <c r="D499" s="19" t="s">
        <v>18</v>
      </c>
      <c r="E499" s="124" t="s">
        <v>579</v>
      </c>
      <c r="F499" s="19" t="s">
        <v>16</v>
      </c>
      <c r="G499" s="118"/>
      <c r="H499" s="19"/>
      <c r="I499" s="118" t="s">
        <v>36</v>
      </c>
      <c r="J499" s="58">
        <v>37941</v>
      </c>
      <c r="K499" s="116">
        <f t="shared" si="14"/>
        <v>498</v>
      </c>
      <c r="L499" s="19"/>
      <c r="M499" s="20"/>
    </row>
    <row r="500" s="17" customFormat="1" ht="21" customHeight="1" spans="1:13">
      <c r="A500" s="116">
        <f t="shared" si="15"/>
        <v>499</v>
      </c>
      <c r="B500" s="119" t="s">
        <v>580</v>
      </c>
      <c r="C500" s="19" t="s">
        <v>322</v>
      </c>
      <c r="D500" s="19" t="s">
        <v>18</v>
      </c>
      <c r="E500" s="124" t="s">
        <v>273</v>
      </c>
      <c r="F500" s="19" t="s">
        <v>16</v>
      </c>
      <c r="G500" s="118" t="s">
        <v>529</v>
      </c>
      <c r="H500" s="19"/>
      <c r="I500" s="118" t="s">
        <v>36</v>
      </c>
      <c r="J500" s="58">
        <v>37941</v>
      </c>
      <c r="K500" s="116">
        <f t="shared" si="14"/>
        <v>499</v>
      </c>
      <c r="L500" s="19"/>
      <c r="M500" s="20"/>
    </row>
    <row r="501" s="17" customFormat="1" ht="21" customHeight="1" spans="1:13">
      <c r="A501" s="116">
        <f t="shared" si="15"/>
        <v>500</v>
      </c>
      <c r="B501" s="119" t="s">
        <v>581</v>
      </c>
      <c r="C501" s="19" t="s">
        <v>322</v>
      </c>
      <c r="D501" s="19" t="s">
        <v>18</v>
      </c>
      <c r="E501" s="124" t="s">
        <v>272</v>
      </c>
      <c r="F501" s="19" t="s">
        <v>16</v>
      </c>
      <c r="G501" s="118" t="s">
        <v>529</v>
      </c>
      <c r="H501" s="19"/>
      <c r="I501" s="118" t="s">
        <v>36</v>
      </c>
      <c r="J501" s="58">
        <v>37941</v>
      </c>
      <c r="K501" s="116">
        <f t="shared" si="14"/>
        <v>500</v>
      </c>
      <c r="L501" s="19"/>
      <c r="M501" s="20"/>
    </row>
    <row r="502" s="17" customFormat="1" ht="21" customHeight="1" spans="1:13">
      <c r="A502" s="116">
        <f t="shared" si="15"/>
        <v>501</v>
      </c>
      <c r="B502" s="119" t="s">
        <v>582</v>
      </c>
      <c r="C502" s="19" t="s">
        <v>322</v>
      </c>
      <c r="D502" s="19" t="s">
        <v>18</v>
      </c>
      <c r="E502" s="124" t="s">
        <v>583</v>
      </c>
      <c r="F502" s="19" t="s">
        <v>16</v>
      </c>
      <c r="G502" s="118" t="s">
        <v>584</v>
      </c>
      <c r="H502" s="19"/>
      <c r="I502" s="118" t="s">
        <v>17</v>
      </c>
      <c r="J502" s="58">
        <v>37941</v>
      </c>
      <c r="K502" s="116">
        <f t="shared" ref="K502:K565" si="16">A502</f>
        <v>501</v>
      </c>
      <c r="L502" s="19"/>
      <c r="M502" s="20"/>
    </row>
    <row r="503" s="17" customFormat="1" ht="21" customHeight="1" spans="1:13">
      <c r="A503" s="116">
        <f t="shared" si="15"/>
        <v>502</v>
      </c>
      <c r="B503" s="119" t="s">
        <v>585</v>
      </c>
      <c r="C503" s="19" t="s">
        <v>322</v>
      </c>
      <c r="D503" s="19" t="s">
        <v>18</v>
      </c>
      <c r="E503" s="124" t="s">
        <v>586</v>
      </c>
      <c r="F503" s="19" t="s">
        <v>16</v>
      </c>
      <c r="G503" s="118" t="s">
        <v>396</v>
      </c>
      <c r="H503" s="19"/>
      <c r="I503" s="118" t="s">
        <v>36</v>
      </c>
      <c r="J503" s="58">
        <v>37941</v>
      </c>
      <c r="K503" s="116">
        <f t="shared" si="16"/>
        <v>502</v>
      </c>
      <c r="L503" s="19"/>
      <c r="M503" s="20"/>
    </row>
    <row r="504" s="17" customFormat="1" ht="21" customHeight="1" spans="1:13">
      <c r="A504" s="116">
        <f t="shared" si="15"/>
        <v>503</v>
      </c>
      <c r="B504" s="119">
        <v>1795900</v>
      </c>
      <c r="C504" s="19" t="s">
        <v>322</v>
      </c>
      <c r="D504" s="19" t="s">
        <v>82</v>
      </c>
      <c r="E504" s="124" t="s">
        <v>64</v>
      </c>
      <c r="F504" s="19" t="s">
        <v>65</v>
      </c>
      <c r="G504" s="118" t="s">
        <v>587</v>
      </c>
      <c r="H504" s="19"/>
      <c r="I504" s="118" t="s">
        <v>17</v>
      </c>
      <c r="J504" s="58">
        <v>37941</v>
      </c>
      <c r="K504" s="116">
        <f t="shared" si="16"/>
        <v>503</v>
      </c>
      <c r="L504" s="19"/>
      <c r="M504" s="20"/>
    </row>
    <row r="505" s="17" customFormat="1" ht="21" customHeight="1" spans="1:13">
      <c r="A505" s="116">
        <f t="shared" si="15"/>
        <v>504</v>
      </c>
      <c r="B505" s="119">
        <v>1795800</v>
      </c>
      <c r="C505" s="19" t="s">
        <v>322</v>
      </c>
      <c r="D505" s="19" t="s">
        <v>82</v>
      </c>
      <c r="E505" s="124" t="s">
        <v>57</v>
      </c>
      <c r="F505" s="19" t="s">
        <v>65</v>
      </c>
      <c r="G505" s="118" t="s">
        <v>587</v>
      </c>
      <c r="H505" s="19"/>
      <c r="I505" s="118" t="s">
        <v>17</v>
      </c>
      <c r="J505" s="58">
        <v>37941</v>
      </c>
      <c r="K505" s="116">
        <f t="shared" si="16"/>
        <v>504</v>
      </c>
      <c r="L505" s="19"/>
      <c r="M505" s="20"/>
    </row>
    <row r="506" s="17" customFormat="1" ht="21" customHeight="1" spans="1:13">
      <c r="A506" s="116">
        <f t="shared" si="15"/>
        <v>505</v>
      </c>
      <c r="B506" s="119" t="s">
        <v>588</v>
      </c>
      <c r="C506" s="19" t="s">
        <v>322</v>
      </c>
      <c r="D506" s="19" t="s">
        <v>18</v>
      </c>
      <c r="E506" s="124" t="s">
        <v>281</v>
      </c>
      <c r="F506" s="19" t="s">
        <v>16</v>
      </c>
      <c r="G506" s="118" t="s">
        <v>555</v>
      </c>
      <c r="H506" s="19"/>
      <c r="I506" s="118" t="s">
        <v>36</v>
      </c>
      <c r="J506" s="58">
        <v>37941</v>
      </c>
      <c r="K506" s="116">
        <f t="shared" si="16"/>
        <v>505</v>
      </c>
      <c r="L506" s="19"/>
      <c r="M506" s="20"/>
    </row>
    <row r="507" s="17" customFormat="1" ht="21" customHeight="1" spans="1:13">
      <c r="A507" s="116">
        <f t="shared" si="15"/>
        <v>506</v>
      </c>
      <c r="B507" s="119" t="s">
        <v>589</v>
      </c>
      <c r="C507" s="19" t="s">
        <v>322</v>
      </c>
      <c r="D507" s="19" t="s">
        <v>18</v>
      </c>
      <c r="E507" s="124" t="s">
        <v>231</v>
      </c>
      <c r="F507" s="19" t="s">
        <v>16</v>
      </c>
      <c r="G507" s="118" t="s">
        <v>590</v>
      </c>
      <c r="H507" s="19"/>
      <c r="I507" s="118" t="s">
        <v>38</v>
      </c>
      <c r="J507" s="58">
        <v>37941</v>
      </c>
      <c r="K507" s="116">
        <f t="shared" si="16"/>
        <v>506</v>
      </c>
      <c r="L507" s="19"/>
      <c r="M507" s="20"/>
    </row>
    <row r="508" s="17" customFormat="1" ht="21" customHeight="1" spans="1:13">
      <c r="A508" s="116">
        <f t="shared" si="15"/>
        <v>507</v>
      </c>
      <c r="B508" s="119" t="s">
        <v>591</v>
      </c>
      <c r="C508" s="19" t="s">
        <v>322</v>
      </c>
      <c r="D508" s="19" t="s">
        <v>18</v>
      </c>
      <c r="E508" s="124" t="s">
        <v>592</v>
      </c>
      <c r="F508" s="19" t="s">
        <v>16</v>
      </c>
      <c r="G508" s="118" t="s">
        <v>593</v>
      </c>
      <c r="H508" s="19"/>
      <c r="I508" s="118" t="s">
        <v>20</v>
      </c>
      <c r="J508" s="58">
        <v>37941</v>
      </c>
      <c r="K508" s="116">
        <f t="shared" si="16"/>
        <v>507</v>
      </c>
      <c r="L508" s="19"/>
      <c r="M508" s="20"/>
    </row>
    <row r="509" s="17" customFormat="1" ht="21" customHeight="1" spans="1:13">
      <c r="A509" s="116">
        <f t="shared" si="15"/>
        <v>508</v>
      </c>
      <c r="B509" s="119" t="s">
        <v>594</v>
      </c>
      <c r="C509" s="19" t="s">
        <v>322</v>
      </c>
      <c r="D509" s="19" t="s">
        <v>18</v>
      </c>
      <c r="E509" s="124" t="s">
        <v>595</v>
      </c>
      <c r="F509" s="19" t="s">
        <v>16</v>
      </c>
      <c r="G509" s="118" t="s">
        <v>596</v>
      </c>
      <c r="H509" s="19"/>
      <c r="I509" s="118" t="s">
        <v>20</v>
      </c>
      <c r="J509" s="58">
        <v>37941</v>
      </c>
      <c r="K509" s="116">
        <f t="shared" si="16"/>
        <v>508</v>
      </c>
      <c r="L509" s="19"/>
      <c r="M509" s="20"/>
    </row>
    <row r="510" s="17" customFormat="1" ht="21" customHeight="1" spans="1:13">
      <c r="A510" s="116">
        <f t="shared" si="15"/>
        <v>509</v>
      </c>
      <c r="B510" s="119" t="s">
        <v>597</v>
      </c>
      <c r="C510" s="19" t="s">
        <v>322</v>
      </c>
      <c r="D510" s="19" t="s">
        <v>82</v>
      </c>
      <c r="E510" s="124" t="s">
        <v>111</v>
      </c>
      <c r="F510" s="19" t="s">
        <v>65</v>
      </c>
      <c r="G510" s="118" t="s">
        <v>148</v>
      </c>
      <c r="H510" s="19"/>
      <c r="I510" s="118" t="s">
        <v>17</v>
      </c>
      <c r="J510" s="58">
        <v>37941</v>
      </c>
      <c r="K510" s="116">
        <f t="shared" si="16"/>
        <v>509</v>
      </c>
      <c r="L510" s="19"/>
      <c r="M510" s="20"/>
    </row>
    <row r="511" s="17" customFormat="1" ht="21" customHeight="1" spans="1:13">
      <c r="A511" s="116">
        <f t="shared" si="15"/>
        <v>510</v>
      </c>
      <c r="B511" s="119" t="s">
        <v>598</v>
      </c>
      <c r="C511" s="19" t="s">
        <v>322</v>
      </c>
      <c r="D511" s="19" t="s">
        <v>18</v>
      </c>
      <c r="E511" s="124" t="s">
        <v>599</v>
      </c>
      <c r="F511" s="19" t="s">
        <v>16</v>
      </c>
      <c r="G511" s="118"/>
      <c r="H511" s="19"/>
      <c r="I511" s="118" t="s">
        <v>38</v>
      </c>
      <c r="J511" s="58">
        <v>37941</v>
      </c>
      <c r="K511" s="116">
        <f t="shared" si="16"/>
        <v>510</v>
      </c>
      <c r="L511" s="19"/>
      <c r="M511" s="20"/>
    </row>
    <row r="512" s="17" customFormat="1" ht="21" customHeight="1" spans="1:13">
      <c r="A512" s="116">
        <f t="shared" si="15"/>
        <v>511</v>
      </c>
      <c r="B512" s="119" t="s">
        <v>600</v>
      </c>
      <c r="C512" s="19" t="s">
        <v>322</v>
      </c>
      <c r="D512" s="19" t="s">
        <v>18</v>
      </c>
      <c r="E512" s="124" t="s">
        <v>601</v>
      </c>
      <c r="F512" s="19" t="s">
        <v>16</v>
      </c>
      <c r="G512" s="118" t="s">
        <v>602</v>
      </c>
      <c r="H512" s="19"/>
      <c r="I512" s="118" t="s">
        <v>20</v>
      </c>
      <c r="J512" s="58">
        <v>37941</v>
      </c>
      <c r="K512" s="116">
        <f t="shared" si="16"/>
        <v>511</v>
      </c>
      <c r="L512" s="19"/>
      <c r="M512" s="20"/>
    </row>
    <row r="513" s="17" customFormat="1" ht="21" customHeight="1" spans="1:13">
      <c r="A513" s="116">
        <f t="shared" si="15"/>
        <v>512</v>
      </c>
      <c r="B513" s="119" t="s">
        <v>603</v>
      </c>
      <c r="C513" s="19" t="s">
        <v>322</v>
      </c>
      <c r="D513" s="19" t="s">
        <v>18</v>
      </c>
      <c r="E513" s="124" t="s">
        <v>604</v>
      </c>
      <c r="F513" s="19" t="s">
        <v>16</v>
      </c>
      <c r="G513" s="118" t="s">
        <v>596</v>
      </c>
      <c r="H513" s="19"/>
      <c r="I513" s="118" t="s">
        <v>20</v>
      </c>
      <c r="J513" s="58">
        <v>37941</v>
      </c>
      <c r="K513" s="116">
        <f t="shared" si="16"/>
        <v>512</v>
      </c>
      <c r="L513" s="19"/>
      <c r="M513" s="20"/>
    </row>
    <row r="514" s="17" customFormat="1" ht="21" customHeight="1" spans="1:13">
      <c r="A514" s="116">
        <f t="shared" si="15"/>
        <v>513</v>
      </c>
      <c r="B514" s="119" t="s">
        <v>605</v>
      </c>
      <c r="C514" s="19" t="s">
        <v>322</v>
      </c>
      <c r="D514" s="19" t="s">
        <v>18</v>
      </c>
      <c r="E514" s="124" t="s">
        <v>250</v>
      </c>
      <c r="F514" s="19" t="s">
        <v>16</v>
      </c>
      <c r="G514" s="118" t="s">
        <v>560</v>
      </c>
      <c r="H514" s="19"/>
      <c r="I514" s="118" t="s">
        <v>20</v>
      </c>
      <c r="J514" s="58">
        <v>37941</v>
      </c>
      <c r="K514" s="116">
        <f t="shared" si="16"/>
        <v>513</v>
      </c>
      <c r="L514" s="19"/>
      <c r="M514" s="20"/>
    </row>
    <row r="515" s="17" customFormat="1" ht="21" customHeight="1" spans="1:13">
      <c r="A515" s="116">
        <f t="shared" si="15"/>
        <v>514</v>
      </c>
      <c r="B515" s="119" t="s">
        <v>606</v>
      </c>
      <c r="C515" s="19" t="s">
        <v>322</v>
      </c>
      <c r="D515" s="19" t="s">
        <v>18</v>
      </c>
      <c r="E515" s="124" t="s">
        <v>607</v>
      </c>
      <c r="F515" s="19" t="s">
        <v>16</v>
      </c>
      <c r="G515" s="118" t="s">
        <v>596</v>
      </c>
      <c r="H515" s="19"/>
      <c r="I515" s="118" t="s">
        <v>20</v>
      </c>
      <c r="J515" s="58">
        <v>37941</v>
      </c>
      <c r="K515" s="116">
        <f t="shared" si="16"/>
        <v>514</v>
      </c>
      <c r="L515" s="19"/>
      <c r="M515" s="20"/>
    </row>
    <row r="516" s="17" customFormat="1" ht="21" customHeight="1" spans="1:13">
      <c r="A516" s="116">
        <f t="shared" ref="A516:A579" si="17">ROW(L516)-1</f>
        <v>515</v>
      </c>
      <c r="B516" s="119" t="s">
        <v>608</v>
      </c>
      <c r="C516" s="19" t="s">
        <v>322</v>
      </c>
      <c r="D516" s="19" t="s">
        <v>18</v>
      </c>
      <c r="E516" s="124" t="s">
        <v>163</v>
      </c>
      <c r="F516" s="19" t="s">
        <v>16</v>
      </c>
      <c r="G516" s="118" t="s">
        <v>352</v>
      </c>
      <c r="H516" s="19"/>
      <c r="I516" s="118" t="s">
        <v>20</v>
      </c>
      <c r="J516" s="58">
        <v>37941</v>
      </c>
      <c r="K516" s="116">
        <f t="shared" si="16"/>
        <v>515</v>
      </c>
      <c r="L516" s="19"/>
      <c r="M516" s="20"/>
    </row>
    <row r="517" s="17" customFormat="1" ht="21" customHeight="1" spans="1:13">
      <c r="A517" s="116">
        <f t="shared" si="17"/>
        <v>516</v>
      </c>
      <c r="B517" s="119" t="s">
        <v>609</v>
      </c>
      <c r="C517" s="19" t="s">
        <v>322</v>
      </c>
      <c r="D517" s="19" t="s">
        <v>18</v>
      </c>
      <c r="E517" s="124" t="s">
        <v>610</v>
      </c>
      <c r="F517" s="19" t="s">
        <v>16</v>
      </c>
      <c r="G517" s="118" t="s">
        <v>611</v>
      </c>
      <c r="H517" s="19"/>
      <c r="I517" s="118" t="s">
        <v>36</v>
      </c>
      <c r="J517" s="58">
        <v>37941</v>
      </c>
      <c r="K517" s="116">
        <f t="shared" si="16"/>
        <v>516</v>
      </c>
      <c r="L517" s="19"/>
      <c r="M517" s="20"/>
    </row>
    <row r="518" s="17" customFormat="1" ht="21" customHeight="1" spans="1:13">
      <c r="A518" s="116">
        <f t="shared" si="17"/>
        <v>517</v>
      </c>
      <c r="B518" s="119" t="s">
        <v>612</v>
      </c>
      <c r="C518" s="19" t="s">
        <v>322</v>
      </c>
      <c r="D518" s="19" t="s">
        <v>18</v>
      </c>
      <c r="E518" s="124" t="s">
        <v>88</v>
      </c>
      <c r="F518" s="19" t="s">
        <v>16</v>
      </c>
      <c r="G518" s="118" t="s">
        <v>447</v>
      </c>
      <c r="H518" s="19"/>
      <c r="I518" s="118" t="s">
        <v>17</v>
      </c>
      <c r="J518" s="58">
        <v>37941</v>
      </c>
      <c r="K518" s="116">
        <f t="shared" si="16"/>
        <v>517</v>
      </c>
      <c r="L518" s="19"/>
      <c r="M518" s="20"/>
    </row>
    <row r="519" s="17" customFormat="1" ht="21" customHeight="1" spans="1:13">
      <c r="A519" s="116">
        <f t="shared" si="17"/>
        <v>518</v>
      </c>
      <c r="B519" s="119" t="s">
        <v>613</v>
      </c>
      <c r="C519" s="19" t="s">
        <v>322</v>
      </c>
      <c r="D519" s="19" t="s">
        <v>18</v>
      </c>
      <c r="E519" s="124" t="s">
        <v>614</v>
      </c>
      <c r="F519" s="19" t="s">
        <v>16</v>
      </c>
      <c r="G519" s="118"/>
      <c r="H519" s="19"/>
      <c r="I519" s="118" t="s">
        <v>17</v>
      </c>
      <c r="J519" s="58">
        <v>37941</v>
      </c>
      <c r="K519" s="116">
        <f t="shared" si="16"/>
        <v>518</v>
      </c>
      <c r="L519" s="19"/>
      <c r="M519" s="20"/>
    </row>
    <row r="520" s="17" customFormat="1" ht="21" customHeight="1" spans="1:13">
      <c r="A520" s="116">
        <f t="shared" si="17"/>
        <v>519</v>
      </c>
      <c r="B520" s="119" t="s">
        <v>615</v>
      </c>
      <c r="C520" s="19" t="s">
        <v>322</v>
      </c>
      <c r="D520" s="19" t="s">
        <v>18</v>
      </c>
      <c r="E520" s="124" t="s">
        <v>616</v>
      </c>
      <c r="F520" s="19" t="s">
        <v>16</v>
      </c>
      <c r="G520" s="118" t="s">
        <v>596</v>
      </c>
      <c r="H520" s="19"/>
      <c r="I520" s="118" t="s">
        <v>20</v>
      </c>
      <c r="J520" s="58">
        <v>37941</v>
      </c>
      <c r="K520" s="116">
        <f t="shared" si="16"/>
        <v>519</v>
      </c>
      <c r="L520" s="19"/>
      <c r="M520" s="20"/>
    </row>
    <row r="521" s="17" customFormat="1" ht="21" customHeight="1" spans="1:13">
      <c r="A521" s="116">
        <f t="shared" si="17"/>
        <v>520</v>
      </c>
      <c r="B521" s="119" t="s">
        <v>617</v>
      </c>
      <c r="C521" s="19" t="s">
        <v>322</v>
      </c>
      <c r="D521" s="19" t="s">
        <v>18</v>
      </c>
      <c r="E521" s="124" t="s">
        <v>618</v>
      </c>
      <c r="F521" s="19" t="s">
        <v>16</v>
      </c>
      <c r="G521" s="118" t="s">
        <v>555</v>
      </c>
      <c r="H521" s="19"/>
      <c r="I521" s="118" t="s">
        <v>36</v>
      </c>
      <c r="J521" s="58">
        <v>37941</v>
      </c>
      <c r="K521" s="116">
        <f t="shared" si="16"/>
        <v>520</v>
      </c>
      <c r="L521" s="19"/>
      <c r="M521" s="20"/>
    </row>
    <row r="522" s="17" customFormat="1" ht="21" customHeight="1" spans="1:13">
      <c r="A522" s="116">
        <f t="shared" si="17"/>
        <v>521</v>
      </c>
      <c r="B522" s="119" t="s">
        <v>619</v>
      </c>
      <c r="C522" s="19" t="s">
        <v>322</v>
      </c>
      <c r="D522" s="19" t="s">
        <v>18</v>
      </c>
      <c r="E522" s="124" t="s">
        <v>610</v>
      </c>
      <c r="F522" s="19" t="s">
        <v>16</v>
      </c>
      <c r="G522" s="118" t="s">
        <v>611</v>
      </c>
      <c r="H522" s="19"/>
      <c r="I522" s="118" t="s">
        <v>36</v>
      </c>
      <c r="J522" s="58">
        <v>37941</v>
      </c>
      <c r="K522" s="116">
        <f t="shared" si="16"/>
        <v>521</v>
      </c>
      <c r="L522" s="19"/>
      <c r="M522" s="20"/>
    </row>
    <row r="523" s="17" customFormat="1" ht="21" customHeight="1" spans="1:13">
      <c r="A523" s="116">
        <f t="shared" si="17"/>
        <v>522</v>
      </c>
      <c r="B523" s="119" t="s">
        <v>620</v>
      </c>
      <c r="C523" s="19" t="s">
        <v>322</v>
      </c>
      <c r="D523" s="19" t="s">
        <v>18</v>
      </c>
      <c r="E523" s="124" t="s">
        <v>621</v>
      </c>
      <c r="F523" s="19" t="s">
        <v>16</v>
      </c>
      <c r="G523" s="118" t="s">
        <v>602</v>
      </c>
      <c r="H523" s="19"/>
      <c r="I523" s="118" t="s">
        <v>20</v>
      </c>
      <c r="J523" s="58">
        <v>37941</v>
      </c>
      <c r="K523" s="116">
        <f t="shared" si="16"/>
        <v>522</v>
      </c>
      <c r="L523" s="19"/>
      <c r="M523" s="20"/>
    </row>
    <row r="524" s="17" customFormat="1" ht="21" customHeight="1" spans="1:13">
      <c r="A524" s="116">
        <f t="shared" si="17"/>
        <v>523</v>
      </c>
      <c r="B524" s="119">
        <v>1788630</v>
      </c>
      <c r="C524" s="19" t="s">
        <v>322</v>
      </c>
      <c r="D524" s="19" t="s">
        <v>18</v>
      </c>
      <c r="E524" s="124" t="s">
        <v>182</v>
      </c>
      <c r="F524" s="19" t="s">
        <v>16</v>
      </c>
      <c r="G524" s="118"/>
      <c r="H524" s="19"/>
      <c r="I524" s="118" t="s">
        <v>36</v>
      </c>
      <c r="J524" s="58">
        <v>37941</v>
      </c>
      <c r="K524" s="116">
        <f t="shared" si="16"/>
        <v>523</v>
      </c>
      <c r="L524" s="19"/>
      <c r="M524" s="20"/>
    </row>
    <row r="525" s="17" customFormat="1" ht="21" customHeight="1" spans="1:13">
      <c r="A525" s="116">
        <f t="shared" si="17"/>
        <v>524</v>
      </c>
      <c r="B525" s="119" t="s">
        <v>622</v>
      </c>
      <c r="C525" s="19" t="s">
        <v>322</v>
      </c>
      <c r="D525" s="19" t="s">
        <v>18</v>
      </c>
      <c r="E525" s="124" t="s">
        <v>88</v>
      </c>
      <c r="F525" s="19" t="s">
        <v>16</v>
      </c>
      <c r="G525" s="118" t="s">
        <v>447</v>
      </c>
      <c r="H525" s="19"/>
      <c r="I525" s="118" t="s">
        <v>17</v>
      </c>
      <c r="J525" s="58">
        <v>37941</v>
      </c>
      <c r="K525" s="116">
        <f t="shared" si="16"/>
        <v>524</v>
      </c>
      <c r="L525" s="19"/>
      <c r="M525" s="20"/>
    </row>
    <row r="526" s="17" customFormat="1" ht="21" customHeight="1" spans="1:13">
      <c r="A526" s="116">
        <f t="shared" si="17"/>
        <v>525</v>
      </c>
      <c r="B526" s="119" t="s">
        <v>623</v>
      </c>
      <c r="C526" s="19" t="s">
        <v>322</v>
      </c>
      <c r="D526" s="19" t="s">
        <v>18</v>
      </c>
      <c r="E526" s="124" t="s">
        <v>624</v>
      </c>
      <c r="F526" s="19" t="s">
        <v>16</v>
      </c>
      <c r="G526" s="118" t="s">
        <v>625</v>
      </c>
      <c r="H526" s="19"/>
      <c r="I526" s="118" t="s">
        <v>20</v>
      </c>
      <c r="J526" s="58">
        <v>37941</v>
      </c>
      <c r="K526" s="116">
        <f t="shared" si="16"/>
        <v>525</v>
      </c>
      <c r="L526" s="19"/>
      <c r="M526" s="20"/>
    </row>
    <row r="527" s="17" customFormat="1" ht="21" customHeight="1" spans="1:13">
      <c r="A527" s="116">
        <f t="shared" si="17"/>
        <v>526</v>
      </c>
      <c r="B527" s="119" t="s">
        <v>626</v>
      </c>
      <c r="C527" s="19" t="s">
        <v>322</v>
      </c>
      <c r="D527" s="19" t="s">
        <v>18</v>
      </c>
      <c r="E527" s="124" t="s">
        <v>627</v>
      </c>
      <c r="F527" s="19" t="s">
        <v>16</v>
      </c>
      <c r="G527" s="118" t="s">
        <v>555</v>
      </c>
      <c r="H527" s="19"/>
      <c r="I527" s="118" t="s">
        <v>36</v>
      </c>
      <c r="J527" s="58">
        <v>37941</v>
      </c>
      <c r="K527" s="116">
        <f t="shared" si="16"/>
        <v>526</v>
      </c>
      <c r="L527" s="19"/>
      <c r="M527" s="20"/>
    </row>
    <row r="528" s="17" customFormat="1" ht="21" customHeight="1" spans="1:13">
      <c r="A528" s="116">
        <f t="shared" si="17"/>
        <v>527</v>
      </c>
      <c r="B528" s="119" t="s">
        <v>628</v>
      </c>
      <c r="C528" s="19" t="s">
        <v>322</v>
      </c>
      <c r="D528" s="19" t="s">
        <v>18</v>
      </c>
      <c r="E528" s="124" t="s">
        <v>481</v>
      </c>
      <c r="F528" s="19" t="s">
        <v>31</v>
      </c>
      <c r="G528" s="118" t="s">
        <v>629</v>
      </c>
      <c r="H528" s="19"/>
      <c r="I528" s="118" t="s">
        <v>17</v>
      </c>
      <c r="J528" s="58">
        <v>37941</v>
      </c>
      <c r="K528" s="116">
        <f t="shared" si="16"/>
        <v>527</v>
      </c>
      <c r="L528" s="19"/>
      <c r="M528" s="20"/>
    </row>
    <row r="529" s="17" customFormat="1" ht="21" customHeight="1" spans="1:13">
      <c r="A529" s="116">
        <f t="shared" si="17"/>
        <v>528</v>
      </c>
      <c r="B529" s="119">
        <v>1788950</v>
      </c>
      <c r="C529" s="19" t="s">
        <v>322</v>
      </c>
      <c r="D529" s="19" t="s">
        <v>18</v>
      </c>
      <c r="E529" s="124" t="s">
        <v>48</v>
      </c>
      <c r="F529" s="19" t="s">
        <v>31</v>
      </c>
      <c r="G529" s="118" t="s">
        <v>629</v>
      </c>
      <c r="H529" s="19"/>
      <c r="I529" s="118" t="s">
        <v>17</v>
      </c>
      <c r="J529" s="58">
        <v>37941</v>
      </c>
      <c r="K529" s="116">
        <f t="shared" si="16"/>
        <v>528</v>
      </c>
      <c r="L529" s="19"/>
      <c r="M529" s="20"/>
    </row>
    <row r="530" s="17" customFormat="1" ht="21" customHeight="1" spans="1:13">
      <c r="A530" s="116">
        <f t="shared" si="17"/>
        <v>529</v>
      </c>
      <c r="B530" s="119" t="s">
        <v>630</v>
      </c>
      <c r="C530" s="19" t="s">
        <v>322</v>
      </c>
      <c r="D530" s="19" t="s">
        <v>18</v>
      </c>
      <c r="E530" s="124" t="s">
        <v>631</v>
      </c>
      <c r="F530" s="19" t="s">
        <v>16</v>
      </c>
      <c r="G530" s="118" t="s">
        <v>625</v>
      </c>
      <c r="H530" s="19"/>
      <c r="I530" s="118" t="s">
        <v>20</v>
      </c>
      <c r="J530" s="58">
        <v>37941</v>
      </c>
      <c r="K530" s="116">
        <f t="shared" si="16"/>
        <v>529</v>
      </c>
      <c r="L530" s="19"/>
      <c r="M530" s="20"/>
    </row>
    <row r="531" s="17" customFormat="1" ht="21" customHeight="1" spans="1:13">
      <c r="A531" s="116">
        <f t="shared" si="17"/>
        <v>530</v>
      </c>
      <c r="B531" s="119" t="s">
        <v>632</v>
      </c>
      <c r="C531" s="19" t="s">
        <v>322</v>
      </c>
      <c r="D531" s="19" t="s">
        <v>18</v>
      </c>
      <c r="E531" s="124" t="s">
        <v>186</v>
      </c>
      <c r="F531" s="19" t="s">
        <v>16</v>
      </c>
      <c r="G531" s="118"/>
      <c r="H531" s="19"/>
      <c r="I531" s="118" t="s">
        <v>17</v>
      </c>
      <c r="J531" s="58">
        <v>37941</v>
      </c>
      <c r="K531" s="116">
        <f t="shared" si="16"/>
        <v>530</v>
      </c>
      <c r="L531" s="19"/>
      <c r="M531" s="20"/>
    </row>
    <row r="532" s="17" customFormat="1" ht="21" customHeight="1" spans="1:13">
      <c r="A532" s="116">
        <f t="shared" si="17"/>
        <v>531</v>
      </c>
      <c r="B532" s="119" t="s">
        <v>633</v>
      </c>
      <c r="C532" s="19" t="s">
        <v>322</v>
      </c>
      <c r="D532" s="19" t="s">
        <v>18</v>
      </c>
      <c r="E532" s="124" t="s">
        <v>601</v>
      </c>
      <c r="F532" s="19" t="s">
        <v>16</v>
      </c>
      <c r="G532" s="118" t="s">
        <v>602</v>
      </c>
      <c r="H532" s="19"/>
      <c r="I532" s="118" t="s">
        <v>20</v>
      </c>
      <c r="J532" s="58">
        <v>37941</v>
      </c>
      <c r="K532" s="116">
        <f t="shared" si="16"/>
        <v>531</v>
      </c>
      <c r="L532" s="19"/>
      <c r="M532" s="20"/>
    </row>
    <row r="533" s="17" customFormat="1" ht="21" customHeight="1" spans="1:13">
      <c r="A533" s="116">
        <f t="shared" si="17"/>
        <v>532</v>
      </c>
      <c r="B533" s="119" t="s">
        <v>634</v>
      </c>
      <c r="C533" s="19" t="s">
        <v>322</v>
      </c>
      <c r="D533" s="19" t="s">
        <v>18</v>
      </c>
      <c r="E533" s="124" t="s">
        <v>231</v>
      </c>
      <c r="F533" s="19" t="s">
        <v>16</v>
      </c>
      <c r="G533" s="118" t="s">
        <v>590</v>
      </c>
      <c r="H533" s="19"/>
      <c r="I533" s="118" t="s">
        <v>38</v>
      </c>
      <c r="J533" s="58">
        <v>37941</v>
      </c>
      <c r="K533" s="116">
        <f t="shared" si="16"/>
        <v>532</v>
      </c>
      <c r="L533" s="19"/>
      <c r="M533" s="20"/>
    </row>
    <row r="534" s="17" customFormat="1" ht="21" customHeight="1" spans="1:13">
      <c r="A534" s="116">
        <f t="shared" si="17"/>
        <v>533</v>
      </c>
      <c r="B534" s="119" t="s">
        <v>635</v>
      </c>
      <c r="C534" s="19" t="s">
        <v>322</v>
      </c>
      <c r="D534" s="19" t="s">
        <v>18</v>
      </c>
      <c r="E534" s="124" t="s">
        <v>476</v>
      </c>
      <c r="F534" s="19" t="s">
        <v>16</v>
      </c>
      <c r="G534" s="118" t="s">
        <v>477</v>
      </c>
      <c r="H534" s="19"/>
      <c r="I534" s="118" t="s">
        <v>36</v>
      </c>
      <c r="J534" s="58">
        <v>37941</v>
      </c>
      <c r="K534" s="116">
        <f t="shared" si="16"/>
        <v>533</v>
      </c>
      <c r="L534" s="19"/>
      <c r="M534" s="20"/>
    </row>
    <row r="535" s="17" customFormat="1" ht="21" customHeight="1" spans="1:13">
      <c r="A535" s="116">
        <f t="shared" si="17"/>
        <v>534</v>
      </c>
      <c r="B535" s="119" t="s">
        <v>636</v>
      </c>
      <c r="C535" s="19" t="s">
        <v>322</v>
      </c>
      <c r="D535" s="19" t="s">
        <v>18</v>
      </c>
      <c r="E535" s="124" t="s">
        <v>88</v>
      </c>
      <c r="F535" s="19" t="s">
        <v>16</v>
      </c>
      <c r="G535" s="118" t="s">
        <v>151</v>
      </c>
      <c r="H535" s="19"/>
      <c r="I535" s="118" t="s">
        <v>17</v>
      </c>
      <c r="J535" s="58">
        <v>37941</v>
      </c>
      <c r="K535" s="116">
        <f t="shared" si="16"/>
        <v>534</v>
      </c>
      <c r="L535" s="19"/>
      <c r="M535" s="20"/>
    </row>
    <row r="536" s="17" customFormat="1" ht="21" customHeight="1" spans="1:13">
      <c r="A536" s="116">
        <f t="shared" si="17"/>
        <v>535</v>
      </c>
      <c r="B536" s="119" t="s">
        <v>637</v>
      </c>
      <c r="C536" s="19" t="s">
        <v>322</v>
      </c>
      <c r="D536" s="19" t="s">
        <v>18</v>
      </c>
      <c r="E536" s="124" t="s">
        <v>638</v>
      </c>
      <c r="F536" s="19" t="s">
        <v>16</v>
      </c>
      <c r="G536" s="118" t="s">
        <v>416</v>
      </c>
      <c r="H536" s="19"/>
      <c r="I536" s="118" t="s">
        <v>20</v>
      </c>
      <c r="J536" s="58">
        <v>37941</v>
      </c>
      <c r="K536" s="116">
        <f t="shared" si="16"/>
        <v>535</v>
      </c>
      <c r="L536" s="19"/>
      <c r="M536" s="20"/>
    </row>
    <row r="537" s="17" customFormat="1" ht="21" customHeight="1" spans="1:13">
      <c r="A537" s="116">
        <f t="shared" si="17"/>
        <v>536</v>
      </c>
      <c r="B537" s="119">
        <v>1785000</v>
      </c>
      <c r="C537" s="19" t="s">
        <v>322</v>
      </c>
      <c r="D537" s="19" t="s">
        <v>82</v>
      </c>
      <c r="E537" s="124" t="s">
        <v>137</v>
      </c>
      <c r="F537" s="19" t="s">
        <v>65</v>
      </c>
      <c r="G537" s="118" t="s">
        <v>58</v>
      </c>
      <c r="H537" s="19"/>
      <c r="I537" s="118" t="s">
        <v>17</v>
      </c>
      <c r="J537" s="58">
        <v>37941</v>
      </c>
      <c r="K537" s="116">
        <f t="shared" si="16"/>
        <v>536</v>
      </c>
      <c r="L537" s="19"/>
      <c r="M537" s="20"/>
    </row>
    <row r="538" s="17" customFormat="1" ht="21" customHeight="1" spans="1:13">
      <c r="A538" s="116">
        <f t="shared" si="17"/>
        <v>537</v>
      </c>
      <c r="B538" s="119">
        <v>1784950</v>
      </c>
      <c r="C538" s="19" t="s">
        <v>322</v>
      </c>
      <c r="D538" s="19" t="s">
        <v>82</v>
      </c>
      <c r="E538" s="124" t="s">
        <v>136</v>
      </c>
      <c r="F538" s="19" t="s">
        <v>65</v>
      </c>
      <c r="G538" s="118" t="s">
        <v>58</v>
      </c>
      <c r="H538" s="19"/>
      <c r="I538" s="118" t="s">
        <v>17</v>
      </c>
      <c r="J538" s="58">
        <v>37941</v>
      </c>
      <c r="K538" s="116">
        <f t="shared" si="16"/>
        <v>537</v>
      </c>
      <c r="L538" s="19"/>
      <c r="M538" s="20"/>
    </row>
    <row r="539" s="17" customFormat="1" ht="21" customHeight="1" spans="1:13">
      <c r="A539" s="116">
        <f t="shared" si="17"/>
        <v>538</v>
      </c>
      <c r="B539" s="119" t="s">
        <v>639</v>
      </c>
      <c r="C539" s="19" t="s">
        <v>322</v>
      </c>
      <c r="D539" s="19" t="s">
        <v>18</v>
      </c>
      <c r="E539" s="124" t="s">
        <v>91</v>
      </c>
      <c r="F539" s="19" t="s">
        <v>216</v>
      </c>
      <c r="G539" s="118" t="s">
        <v>217</v>
      </c>
      <c r="H539" s="19"/>
      <c r="I539" s="118" t="s">
        <v>17</v>
      </c>
      <c r="J539" s="58">
        <v>37941</v>
      </c>
      <c r="K539" s="116">
        <f t="shared" si="16"/>
        <v>538</v>
      </c>
      <c r="L539" s="19"/>
      <c r="M539" s="20"/>
    </row>
    <row r="540" s="17" customFormat="1" ht="21" customHeight="1" spans="1:13">
      <c r="A540" s="116">
        <f t="shared" si="17"/>
        <v>539</v>
      </c>
      <c r="B540" s="119" t="s">
        <v>640</v>
      </c>
      <c r="C540" s="19" t="s">
        <v>322</v>
      </c>
      <c r="D540" s="19" t="s">
        <v>18</v>
      </c>
      <c r="E540" s="124" t="s">
        <v>641</v>
      </c>
      <c r="F540" s="19" t="s">
        <v>16</v>
      </c>
      <c r="G540" s="118" t="s">
        <v>602</v>
      </c>
      <c r="H540" s="19"/>
      <c r="I540" s="118" t="s">
        <v>36</v>
      </c>
      <c r="J540" s="58">
        <v>37941</v>
      </c>
      <c r="K540" s="116">
        <f t="shared" si="16"/>
        <v>539</v>
      </c>
      <c r="L540" s="19"/>
      <c r="M540" s="20"/>
    </row>
    <row r="541" s="17" customFormat="1" ht="21" customHeight="1" spans="1:13">
      <c r="A541" s="116">
        <f t="shared" si="17"/>
        <v>540</v>
      </c>
      <c r="B541" s="119" t="s">
        <v>642</v>
      </c>
      <c r="C541" s="19" t="s">
        <v>322</v>
      </c>
      <c r="D541" s="19" t="s">
        <v>18</v>
      </c>
      <c r="E541" s="124" t="s">
        <v>643</v>
      </c>
      <c r="F541" s="19" t="s">
        <v>16</v>
      </c>
      <c r="G541" s="118" t="s">
        <v>352</v>
      </c>
      <c r="H541" s="19"/>
      <c r="I541" s="118" t="s">
        <v>20</v>
      </c>
      <c r="J541" s="58">
        <v>37941</v>
      </c>
      <c r="K541" s="116">
        <f t="shared" si="16"/>
        <v>540</v>
      </c>
      <c r="L541" s="19"/>
      <c r="M541" s="20"/>
    </row>
    <row r="542" s="17" customFormat="1" ht="21" customHeight="1" spans="1:13">
      <c r="A542" s="116">
        <f t="shared" si="17"/>
        <v>541</v>
      </c>
      <c r="B542" s="119">
        <v>1784350</v>
      </c>
      <c r="C542" s="19" t="s">
        <v>322</v>
      </c>
      <c r="D542" s="19" t="s">
        <v>18</v>
      </c>
      <c r="E542" s="124" t="s">
        <v>644</v>
      </c>
      <c r="F542" s="19" t="s">
        <v>16</v>
      </c>
      <c r="G542" s="118"/>
      <c r="H542" s="19"/>
      <c r="I542" s="118" t="s">
        <v>36</v>
      </c>
      <c r="J542" s="58">
        <v>37941</v>
      </c>
      <c r="K542" s="116">
        <f t="shared" si="16"/>
        <v>541</v>
      </c>
      <c r="L542" s="19"/>
      <c r="M542" s="20"/>
    </row>
    <row r="543" s="17" customFormat="1" ht="21" customHeight="1" spans="1:13">
      <c r="A543" s="116">
        <f t="shared" si="17"/>
        <v>542</v>
      </c>
      <c r="B543" s="119" t="s">
        <v>645</v>
      </c>
      <c r="C543" s="19" t="s">
        <v>322</v>
      </c>
      <c r="D543" s="19" t="s">
        <v>18</v>
      </c>
      <c r="E543" s="124" t="s">
        <v>646</v>
      </c>
      <c r="F543" s="19" t="s">
        <v>16</v>
      </c>
      <c r="G543" s="118" t="s">
        <v>352</v>
      </c>
      <c r="H543" s="19"/>
      <c r="I543" s="118" t="s">
        <v>20</v>
      </c>
      <c r="J543" s="58">
        <v>37941</v>
      </c>
      <c r="K543" s="116">
        <f t="shared" si="16"/>
        <v>542</v>
      </c>
      <c r="L543" s="19"/>
      <c r="M543" s="20"/>
    </row>
    <row r="544" s="17" customFormat="1" ht="21" customHeight="1" spans="1:13">
      <c r="A544" s="116">
        <f t="shared" si="17"/>
        <v>543</v>
      </c>
      <c r="B544" s="119" t="s">
        <v>647</v>
      </c>
      <c r="C544" s="19" t="s">
        <v>322</v>
      </c>
      <c r="D544" s="19" t="s">
        <v>18</v>
      </c>
      <c r="E544" s="124" t="s">
        <v>648</v>
      </c>
      <c r="F544" s="19" t="s">
        <v>16</v>
      </c>
      <c r="G544" s="118"/>
      <c r="H544" s="19"/>
      <c r="I544" s="118" t="s">
        <v>36</v>
      </c>
      <c r="J544" s="58">
        <v>37941</v>
      </c>
      <c r="K544" s="116">
        <f t="shared" si="16"/>
        <v>543</v>
      </c>
      <c r="L544" s="19"/>
      <c r="M544" s="20"/>
    </row>
    <row r="545" s="17" customFormat="1" ht="21" customHeight="1" spans="1:13">
      <c r="A545" s="116">
        <f t="shared" si="17"/>
        <v>544</v>
      </c>
      <c r="B545" s="119" t="s">
        <v>649</v>
      </c>
      <c r="C545" s="19" t="s">
        <v>322</v>
      </c>
      <c r="D545" s="19" t="s">
        <v>18</v>
      </c>
      <c r="E545" s="124" t="s">
        <v>165</v>
      </c>
      <c r="F545" s="19" t="s">
        <v>31</v>
      </c>
      <c r="G545" s="118" t="s">
        <v>40</v>
      </c>
      <c r="H545" s="19"/>
      <c r="I545" s="118" t="s">
        <v>17</v>
      </c>
      <c r="J545" s="58">
        <v>37941</v>
      </c>
      <c r="K545" s="116">
        <f t="shared" si="16"/>
        <v>544</v>
      </c>
      <c r="L545" s="19"/>
      <c r="M545" s="20"/>
    </row>
    <row r="546" s="17" customFormat="1" ht="21" customHeight="1" spans="1:13">
      <c r="A546" s="116">
        <f t="shared" si="17"/>
        <v>545</v>
      </c>
      <c r="B546" s="119">
        <v>1783870</v>
      </c>
      <c r="C546" s="19" t="s">
        <v>322</v>
      </c>
      <c r="D546" s="19" t="s">
        <v>18</v>
      </c>
      <c r="E546" s="124" t="s">
        <v>650</v>
      </c>
      <c r="F546" s="19" t="s">
        <v>16</v>
      </c>
      <c r="G546" s="118" t="s">
        <v>651</v>
      </c>
      <c r="H546" s="19"/>
      <c r="I546" s="118" t="s">
        <v>20</v>
      </c>
      <c r="J546" s="58">
        <v>37941</v>
      </c>
      <c r="K546" s="116">
        <f t="shared" si="16"/>
        <v>545</v>
      </c>
      <c r="L546" s="19"/>
      <c r="M546" s="20"/>
    </row>
    <row r="547" s="17" customFormat="1" ht="21" customHeight="1" spans="1:13">
      <c r="A547" s="116">
        <f t="shared" si="17"/>
        <v>546</v>
      </c>
      <c r="B547" s="119" t="s">
        <v>652</v>
      </c>
      <c r="C547" s="19" t="s">
        <v>322</v>
      </c>
      <c r="D547" s="19" t="s">
        <v>18</v>
      </c>
      <c r="E547" s="124" t="s">
        <v>88</v>
      </c>
      <c r="F547" s="19" t="s">
        <v>16</v>
      </c>
      <c r="G547" s="118" t="s">
        <v>447</v>
      </c>
      <c r="H547" s="19"/>
      <c r="I547" s="118" t="s">
        <v>17</v>
      </c>
      <c r="J547" s="58">
        <v>37941</v>
      </c>
      <c r="K547" s="116">
        <f t="shared" si="16"/>
        <v>546</v>
      </c>
      <c r="L547" s="19"/>
      <c r="M547" s="20"/>
    </row>
    <row r="548" s="17" customFormat="1" ht="21" customHeight="1" spans="1:13">
      <c r="A548" s="116">
        <f t="shared" si="17"/>
        <v>547</v>
      </c>
      <c r="B548" s="119" t="s">
        <v>653</v>
      </c>
      <c r="C548" s="19" t="s">
        <v>322</v>
      </c>
      <c r="D548" s="19" t="s">
        <v>18</v>
      </c>
      <c r="E548" s="124" t="s">
        <v>164</v>
      </c>
      <c r="F548" s="19" t="s">
        <v>16</v>
      </c>
      <c r="G548" s="118" t="s">
        <v>148</v>
      </c>
      <c r="H548" s="19"/>
      <c r="I548" s="118" t="s">
        <v>17</v>
      </c>
      <c r="J548" s="58">
        <v>37941</v>
      </c>
      <c r="K548" s="116">
        <f t="shared" si="16"/>
        <v>547</v>
      </c>
      <c r="L548" s="19"/>
      <c r="M548" s="20"/>
    </row>
    <row r="549" s="17" customFormat="1" ht="21" customHeight="1" spans="1:13">
      <c r="A549" s="116">
        <f t="shared" si="17"/>
        <v>548</v>
      </c>
      <c r="B549" s="119" t="s">
        <v>654</v>
      </c>
      <c r="C549" s="19" t="s">
        <v>322</v>
      </c>
      <c r="D549" s="19" t="s">
        <v>18</v>
      </c>
      <c r="E549" s="124" t="s">
        <v>655</v>
      </c>
      <c r="F549" s="19" t="s">
        <v>16</v>
      </c>
      <c r="G549" s="118" t="s">
        <v>380</v>
      </c>
      <c r="H549" s="19"/>
      <c r="I549" s="118" t="s">
        <v>81</v>
      </c>
      <c r="J549" s="58">
        <v>37941</v>
      </c>
      <c r="K549" s="116">
        <f t="shared" si="16"/>
        <v>548</v>
      </c>
      <c r="L549" s="19"/>
      <c r="M549" s="20"/>
    </row>
    <row r="550" s="17" customFormat="1" ht="21" customHeight="1" spans="1:13">
      <c r="A550" s="116">
        <f t="shared" si="17"/>
        <v>549</v>
      </c>
      <c r="B550" s="119">
        <f>1852000-67680</f>
        <v>1784320</v>
      </c>
      <c r="C550" s="19" t="s">
        <v>322</v>
      </c>
      <c r="D550" s="19" t="s">
        <v>18</v>
      </c>
      <c r="E550" s="124" t="s">
        <v>656</v>
      </c>
      <c r="F550" s="19" t="s">
        <v>16</v>
      </c>
      <c r="G550" s="118" t="s">
        <v>625</v>
      </c>
      <c r="H550" s="19"/>
      <c r="I550" s="118" t="s">
        <v>20</v>
      </c>
      <c r="J550" s="58">
        <v>37941</v>
      </c>
      <c r="K550" s="116">
        <f t="shared" si="16"/>
        <v>549</v>
      </c>
      <c r="L550" s="19"/>
      <c r="M550" s="20"/>
    </row>
    <row r="551" s="17" customFormat="1" ht="21" customHeight="1" spans="1:13">
      <c r="A551" s="116">
        <f t="shared" si="17"/>
        <v>550</v>
      </c>
      <c r="B551" s="119">
        <v>1782650</v>
      </c>
      <c r="C551" s="19" t="s">
        <v>322</v>
      </c>
      <c r="D551" s="19" t="s">
        <v>18</v>
      </c>
      <c r="E551" s="124" t="s">
        <v>643</v>
      </c>
      <c r="F551" s="19" t="s">
        <v>16</v>
      </c>
      <c r="G551" s="118" t="s">
        <v>352</v>
      </c>
      <c r="H551" s="19"/>
      <c r="I551" s="118" t="s">
        <v>20</v>
      </c>
      <c r="J551" s="58">
        <v>37941</v>
      </c>
      <c r="K551" s="116">
        <f t="shared" si="16"/>
        <v>550</v>
      </c>
      <c r="L551" s="19"/>
      <c r="M551" s="20"/>
    </row>
    <row r="552" s="17" customFormat="1" ht="21" customHeight="1" spans="1:13">
      <c r="A552" s="116">
        <f t="shared" si="17"/>
        <v>551</v>
      </c>
      <c r="B552" s="119">
        <v>1782650</v>
      </c>
      <c r="C552" s="19" t="s">
        <v>322</v>
      </c>
      <c r="D552" s="19" t="s">
        <v>18</v>
      </c>
      <c r="E552" s="124" t="s">
        <v>657</v>
      </c>
      <c r="F552" s="19" t="s">
        <v>16</v>
      </c>
      <c r="G552" s="118"/>
      <c r="H552" s="19"/>
      <c r="I552" s="118" t="s">
        <v>20</v>
      </c>
      <c r="J552" s="58">
        <v>37941</v>
      </c>
      <c r="K552" s="116">
        <f t="shared" si="16"/>
        <v>551</v>
      </c>
      <c r="L552" s="19"/>
      <c r="M552" s="20"/>
    </row>
    <row r="553" s="17" customFormat="1" ht="21" customHeight="1" spans="1:13">
      <c r="A553" s="116">
        <f t="shared" si="17"/>
        <v>552</v>
      </c>
      <c r="B553" s="119">
        <v>1782350</v>
      </c>
      <c r="C553" s="19" t="s">
        <v>322</v>
      </c>
      <c r="D553" s="19" t="s">
        <v>18</v>
      </c>
      <c r="E553" s="124" t="s">
        <v>658</v>
      </c>
      <c r="F553" s="19" t="s">
        <v>16</v>
      </c>
      <c r="G553" s="118" t="s">
        <v>352</v>
      </c>
      <c r="H553" s="19"/>
      <c r="I553" s="118" t="s">
        <v>20</v>
      </c>
      <c r="J553" s="58">
        <v>37941</v>
      </c>
      <c r="K553" s="116">
        <f t="shared" si="16"/>
        <v>552</v>
      </c>
      <c r="L553" s="19"/>
      <c r="M553" s="20"/>
    </row>
    <row r="554" s="17" customFormat="1" ht="21" customHeight="1" spans="1:13">
      <c r="A554" s="116">
        <f t="shared" si="17"/>
        <v>553</v>
      </c>
      <c r="B554" s="119">
        <v>1781950</v>
      </c>
      <c r="C554" s="19" t="s">
        <v>322</v>
      </c>
      <c r="D554" s="19" t="s">
        <v>18</v>
      </c>
      <c r="E554" s="124" t="s">
        <v>165</v>
      </c>
      <c r="F554" s="19" t="s">
        <v>31</v>
      </c>
      <c r="G554" s="118" t="s">
        <v>148</v>
      </c>
      <c r="H554" s="19"/>
      <c r="I554" s="118" t="s">
        <v>17</v>
      </c>
      <c r="J554" s="58">
        <v>37941</v>
      </c>
      <c r="K554" s="116">
        <f t="shared" si="16"/>
        <v>553</v>
      </c>
      <c r="L554" s="19"/>
      <c r="M554" s="20"/>
    </row>
    <row r="555" s="17" customFormat="1" ht="21" customHeight="1" spans="1:13">
      <c r="A555" s="116">
        <f t="shared" si="17"/>
        <v>554</v>
      </c>
      <c r="B555" s="119">
        <f>1852000-70140</f>
        <v>1781860</v>
      </c>
      <c r="C555" s="19" t="s">
        <v>322</v>
      </c>
      <c r="D555" s="19" t="s">
        <v>18</v>
      </c>
      <c r="E555" s="124" t="s">
        <v>290</v>
      </c>
      <c r="F555" s="19" t="s">
        <v>16</v>
      </c>
      <c r="G555" s="118" t="s">
        <v>555</v>
      </c>
      <c r="H555" s="19"/>
      <c r="I555" s="118" t="s">
        <v>36</v>
      </c>
      <c r="J555" s="58">
        <v>37941</v>
      </c>
      <c r="K555" s="116">
        <f t="shared" si="16"/>
        <v>554</v>
      </c>
      <c r="L555" s="19"/>
      <c r="M555" s="20"/>
    </row>
    <row r="556" s="17" customFormat="1" ht="21" customHeight="1" spans="1:13">
      <c r="A556" s="116">
        <f t="shared" si="17"/>
        <v>555</v>
      </c>
      <c r="B556" s="119">
        <v>1780850</v>
      </c>
      <c r="C556" s="19" t="s">
        <v>322</v>
      </c>
      <c r="D556" s="19" t="s">
        <v>18</v>
      </c>
      <c r="E556" s="124" t="s">
        <v>124</v>
      </c>
      <c r="F556" s="19" t="s">
        <v>16</v>
      </c>
      <c r="G556" s="118" t="s">
        <v>176</v>
      </c>
      <c r="H556" s="19"/>
      <c r="I556" s="118" t="s">
        <v>20</v>
      </c>
      <c r="J556" s="58">
        <v>37941</v>
      </c>
      <c r="K556" s="116">
        <f t="shared" si="16"/>
        <v>555</v>
      </c>
      <c r="L556" s="19"/>
      <c r="M556" s="20"/>
    </row>
    <row r="557" s="17" customFormat="1" ht="21" customHeight="1" spans="1:13">
      <c r="A557" s="116">
        <f t="shared" si="17"/>
        <v>556</v>
      </c>
      <c r="B557" s="119">
        <v>1779850</v>
      </c>
      <c r="C557" s="19" t="s">
        <v>322</v>
      </c>
      <c r="D557" s="19" t="s">
        <v>18</v>
      </c>
      <c r="E557" s="124" t="s">
        <v>659</v>
      </c>
      <c r="F557" s="19" t="s">
        <v>16</v>
      </c>
      <c r="G557" s="118"/>
      <c r="H557" s="19"/>
      <c r="I557" s="118" t="s">
        <v>20</v>
      </c>
      <c r="J557" s="58">
        <v>37941</v>
      </c>
      <c r="K557" s="116">
        <f t="shared" si="16"/>
        <v>556</v>
      </c>
      <c r="L557" s="19"/>
      <c r="M557" s="20"/>
    </row>
    <row r="558" s="17" customFormat="1" ht="21" customHeight="1" spans="1:13">
      <c r="A558" s="116">
        <f t="shared" si="17"/>
        <v>557</v>
      </c>
      <c r="B558" s="119">
        <v>1779550</v>
      </c>
      <c r="C558" s="19" t="s">
        <v>322</v>
      </c>
      <c r="D558" s="19" t="s">
        <v>82</v>
      </c>
      <c r="E558" s="124" t="s">
        <v>660</v>
      </c>
      <c r="F558" s="19" t="s">
        <v>65</v>
      </c>
      <c r="G558" s="118" t="s">
        <v>58</v>
      </c>
      <c r="H558" s="19"/>
      <c r="I558" s="118" t="s">
        <v>17</v>
      </c>
      <c r="J558" s="58">
        <v>37941</v>
      </c>
      <c r="K558" s="116">
        <f t="shared" si="16"/>
        <v>557</v>
      </c>
      <c r="L558" s="19"/>
      <c r="M558" s="20"/>
    </row>
    <row r="559" s="17" customFormat="1" ht="21" customHeight="1" spans="1:13">
      <c r="A559" s="116">
        <f t="shared" si="17"/>
        <v>558</v>
      </c>
      <c r="B559" s="119">
        <v>1779500</v>
      </c>
      <c r="C559" s="19" t="s">
        <v>322</v>
      </c>
      <c r="D559" s="19" t="s">
        <v>82</v>
      </c>
      <c r="E559" s="124" t="s">
        <v>57</v>
      </c>
      <c r="F559" s="19" t="s">
        <v>65</v>
      </c>
      <c r="G559" s="118" t="s">
        <v>58</v>
      </c>
      <c r="H559" s="19"/>
      <c r="I559" s="118" t="s">
        <v>17</v>
      </c>
      <c r="J559" s="58">
        <v>37941</v>
      </c>
      <c r="K559" s="116">
        <f t="shared" si="16"/>
        <v>558</v>
      </c>
      <c r="L559" s="19"/>
      <c r="M559" s="20"/>
    </row>
    <row r="560" s="17" customFormat="1" ht="21" customHeight="1" spans="1:13">
      <c r="A560" s="116">
        <f t="shared" si="17"/>
        <v>559</v>
      </c>
      <c r="B560" s="119">
        <v>1779500</v>
      </c>
      <c r="C560" s="19" t="s">
        <v>322</v>
      </c>
      <c r="D560" s="19" t="s">
        <v>18</v>
      </c>
      <c r="E560" s="124" t="s">
        <v>88</v>
      </c>
      <c r="F560" s="19" t="s">
        <v>16</v>
      </c>
      <c r="G560" s="118" t="s">
        <v>151</v>
      </c>
      <c r="H560" s="19"/>
      <c r="I560" s="118" t="s">
        <v>17</v>
      </c>
      <c r="J560" s="58">
        <v>37941</v>
      </c>
      <c r="K560" s="116">
        <f t="shared" si="16"/>
        <v>559</v>
      </c>
      <c r="L560" s="19"/>
      <c r="M560" s="20"/>
    </row>
    <row r="561" s="17" customFormat="1" ht="21" customHeight="1" spans="1:13">
      <c r="A561" s="116">
        <f t="shared" si="17"/>
        <v>560</v>
      </c>
      <c r="B561" s="119">
        <v>1779450</v>
      </c>
      <c r="C561" s="19" t="s">
        <v>322</v>
      </c>
      <c r="D561" s="19" t="s">
        <v>18</v>
      </c>
      <c r="E561" s="124" t="s">
        <v>165</v>
      </c>
      <c r="F561" s="19" t="s">
        <v>31</v>
      </c>
      <c r="G561" s="118" t="s">
        <v>148</v>
      </c>
      <c r="H561" s="19"/>
      <c r="I561" s="118" t="s">
        <v>17</v>
      </c>
      <c r="J561" s="58">
        <v>37941</v>
      </c>
      <c r="K561" s="116">
        <f t="shared" si="16"/>
        <v>560</v>
      </c>
      <c r="L561" s="19"/>
      <c r="M561" s="20"/>
    </row>
    <row r="562" s="17" customFormat="1" ht="21" customHeight="1" spans="1:13">
      <c r="A562" s="116">
        <f t="shared" si="17"/>
        <v>561</v>
      </c>
      <c r="B562" s="119">
        <v>1779400</v>
      </c>
      <c r="C562" s="19" t="s">
        <v>322</v>
      </c>
      <c r="D562" s="19" t="s">
        <v>18</v>
      </c>
      <c r="E562" s="124" t="s">
        <v>120</v>
      </c>
      <c r="F562" s="19" t="s">
        <v>16</v>
      </c>
      <c r="G562" s="118" t="s">
        <v>97</v>
      </c>
      <c r="H562" s="19"/>
      <c r="I562" s="118" t="s">
        <v>36</v>
      </c>
      <c r="J562" s="58">
        <v>37941</v>
      </c>
      <c r="K562" s="116">
        <f t="shared" si="16"/>
        <v>561</v>
      </c>
      <c r="L562" s="19"/>
      <c r="M562" s="20"/>
    </row>
    <row r="563" s="17" customFormat="1" ht="21" customHeight="1" spans="1:13">
      <c r="A563" s="116">
        <f t="shared" si="17"/>
        <v>562</v>
      </c>
      <c r="B563" s="119">
        <v>1779350</v>
      </c>
      <c r="C563" s="19" t="s">
        <v>322</v>
      </c>
      <c r="D563" s="19" t="s">
        <v>18</v>
      </c>
      <c r="E563" s="124" t="s">
        <v>91</v>
      </c>
      <c r="F563" s="19" t="s">
        <v>16</v>
      </c>
      <c r="G563" s="118" t="s">
        <v>217</v>
      </c>
      <c r="H563" s="19"/>
      <c r="I563" s="118" t="s">
        <v>17</v>
      </c>
      <c r="J563" s="58">
        <v>37941</v>
      </c>
      <c r="K563" s="116">
        <f t="shared" si="16"/>
        <v>562</v>
      </c>
      <c r="L563" s="19"/>
      <c r="M563" s="20"/>
    </row>
    <row r="564" s="17" customFormat="1" ht="21" customHeight="1" spans="1:13">
      <c r="A564" s="116">
        <f t="shared" si="17"/>
        <v>563</v>
      </c>
      <c r="B564" s="119" t="s">
        <v>661</v>
      </c>
      <c r="C564" s="19" t="s">
        <v>322</v>
      </c>
      <c r="D564" s="19" t="s">
        <v>18</v>
      </c>
      <c r="E564" s="124" t="s">
        <v>662</v>
      </c>
      <c r="F564" s="19" t="s">
        <v>16</v>
      </c>
      <c r="G564" s="118"/>
      <c r="H564" s="19"/>
      <c r="I564" s="118" t="s">
        <v>20</v>
      </c>
      <c r="J564" s="58">
        <v>37941</v>
      </c>
      <c r="K564" s="116">
        <f t="shared" si="16"/>
        <v>563</v>
      </c>
      <c r="L564" s="19"/>
      <c r="M564" s="20"/>
    </row>
    <row r="565" s="17" customFormat="1" ht="21" customHeight="1" spans="1:13">
      <c r="A565" s="116">
        <f t="shared" si="17"/>
        <v>564</v>
      </c>
      <c r="B565" s="119" t="s">
        <v>661</v>
      </c>
      <c r="C565" s="19" t="s">
        <v>322</v>
      </c>
      <c r="D565" s="19" t="s">
        <v>18</v>
      </c>
      <c r="E565" s="124" t="s">
        <v>663</v>
      </c>
      <c r="F565" s="19" t="s">
        <v>16</v>
      </c>
      <c r="G565" s="118"/>
      <c r="H565" s="19"/>
      <c r="I565" s="118" t="s">
        <v>38</v>
      </c>
      <c r="J565" s="58">
        <v>37941</v>
      </c>
      <c r="K565" s="116">
        <f t="shared" si="16"/>
        <v>564</v>
      </c>
      <c r="L565" s="19"/>
      <c r="M565" s="20"/>
    </row>
    <row r="566" s="17" customFormat="1" ht="21" customHeight="1" spans="1:13">
      <c r="A566" s="116">
        <f t="shared" si="17"/>
        <v>565</v>
      </c>
      <c r="B566" s="119" t="s">
        <v>661</v>
      </c>
      <c r="C566" s="19" t="s">
        <v>322</v>
      </c>
      <c r="D566" s="19" t="s">
        <v>18</v>
      </c>
      <c r="E566" s="124" t="s">
        <v>664</v>
      </c>
      <c r="F566" s="19" t="s">
        <v>16</v>
      </c>
      <c r="G566" s="118"/>
      <c r="H566" s="19"/>
      <c r="I566" s="118" t="s">
        <v>20</v>
      </c>
      <c r="J566" s="58">
        <v>37941</v>
      </c>
      <c r="K566" s="116">
        <f t="shared" ref="K566:K633" si="18">A566</f>
        <v>565</v>
      </c>
      <c r="L566" s="19"/>
      <c r="M566" s="20"/>
    </row>
    <row r="567" s="17" customFormat="1" ht="21" customHeight="1" spans="1:13">
      <c r="A567" s="116">
        <f t="shared" si="17"/>
        <v>566</v>
      </c>
      <c r="B567" s="119" t="s">
        <v>665</v>
      </c>
      <c r="C567" s="19" t="s">
        <v>322</v>
      </c>
      <c r="D567" s="19" t="s">
        <v>18</v>
      </c>
      <c r="E567" s="124" t="s">
        <v>666</v>
      </c>
      <c r="F567" s="19" t="s">
        <v>16</v>
      </c>
      <c r="G567" s="118"/>
      <c r="H567" s="19"/>
      <c r="I567" s="118" t="s">
        <v>36</v>
      </c>
      <c r="J567" s="58">
        <v>37941</v>
      </c>
      <c r="K567" s="116">
        <f t="shared" si="18"/>
        <v>566</v>
      </c>
      <c r="L567" s="19"/>
      <c r="M567" s="20"/>
    </row>
    <row r="568" s="17" customFormat="1" ht="21" customHeight="1" spans="1:13">
      <c r="A568" s="116">
        <f t="shared" si="17"/>
        <v>567</v>
      </c>
      <c r="B568" s="119" t="s">
        <v>665</v>
      </c>
      <c r="C568" s="19" t="s">
        <v>322</v>
      </c>
      <c r="D568" s="19" t="s">
        <v>18</v>
      </c>
      <c r="E568" s="124" t="s">
        <v>667</v>
      </c>
      <c r="F568" s="19" t="s">
        <v>16</v>
      </c>
      <c r="G568" s="118"/>
      <c r="H568" s="19"/>
      <c r="I568" s="118" t="s">
        <v>38</v>
      </c>
      <c r="J568" s="58">
        <v>37941</v>
      </c>
      <c r="K568" s="116">
        <f t="shared" si="18"/>
        <v>567</v>
      </c>
      <c r="L568" s="19"/>
      <c r="M568" s="20"/>
    </row>
    <row r="569" s="17" customFormat="1" ht="21" customHeight="1" spans="1:13">
      <c r="A569" s="116">
        <f t="shared" si="17"/>
        <v>568</v>
      </c>
      <c r="B569" s="119" t="s">
        <v>665</v>
      </c>
      <c r="C569" s="19" t="s">
        <v>322</v>
      </c>
      <c r="D569" s="19" t="s">
        <v>82</v>
      </c>
      <c r="E569" s="124" t="s">
        <v>137</v>
      </c>
      <c r="F569" s="19" t="s">
        <v>65</v>
      </c>
      <c r="G569" s="118" t="s">
        <v>58</v>
      </c>
      <c r="H569" s="19"/>
      <c r="I569" s="118" t="s">
        <v>17</v>
      </c>
      <c r="J569" s="58">
        <v>37941</v>
      </c>
      <c r="K569" s="116">
        <f t="shared" si="18"/>
        <v>568</v>
      </c>
      <c r="L569" s="19"/>
      <c r="M569" s="20"/>
    </row>
    <row r="570" s="17" customFormat="1" ht="21" customHeight="1" spans="1:13">
      <c r="A570" s="116">
        <f t="shared" si="17"/>
        <v>569</v>
      </c>
      <c r="B570" s="119" t="s">
        <v>665</v>
      </c>
      <c r="C570" s="19" t="s">
        <v>322</v>
      </c>
      <c r="D570" s="19" t="s">
        <v>82</v>
      </c>
      <c r="E570" s="124" t="s">
        <v>136</v>
      </c>
      <c r="F570" s="19" t="s">
        <v>65</v>
      </c>
      <c r="G570" s="118" t="s">
        <v>58</v>
      </c>
      <c r="H570" s="19"/>
      <c r="I570" s="118" t="s">
        <v>17</v>
      </c>
      <c r="J570" s="58">
        <v>37941</v>
      </c>
      <c r="K570" s="116">
        <f t="shared" si="18"/>
        <v>569</v>
      </c>
      <c r="L570" s="19"/>
      <c r="M570" s="20"/>
    </row>
    <row r="571" s="17" customFormat="1" ht="21" customHeight="1" spans="1:13">
      <c r="A571" s="116">
        <f t="shared" si="17"/>
        <v>570</v>
      </c>
      <c r="B571" s="119" t="s">
        <v>665</v>
      </c>
      <c r="C571" s="19" t="s">
        <v>322</v>
      </c>
      <c r="D571" s="19" t="s">
        <v>18</v>
      </c>
      <c r="E571" s="124" t="s">
        <v>165</v>
      </c>
      <c r="F571" s="19" t="s">
        <v>16</v>
      </c>
      <c r="G571" s="118"/>
      <c r="H571" s="19"/>
      <c r="I571" s="118" t="s">
        <v>17</v>
      </c>
      <c r="J571" s="58">
        <v>37941</v>
      </c>
      <c r="K571" s="116">
        <f t="shared" si="18"/>
        <v>570</v>
      </c>
      <c r="L571" s="19"/>
      <c r="M571" s="20"/>
    </row>
    <row r="572" s="17" customFormat="1" ht="21" customHeight="1" spans="1:13">
      <c r="A572" s="116">
        <f t="shared" si="17"/>
        <v>571</v>
      </c>
      <c r="B572" s="119" t="s">
        <v>665</v>
      </c>
      <c r="C572" s="19" t="s">
        <v>322</v>
      </c>
      <c r="D572" s="19" t="s">
        <v>18</v>
      </c>
      <c r="E572" s="124" t="s">
        <v>164</v>
      </c>
      <c r="F572" s="19" t="s">
        <v>16</v>
      </c>
      <c r="G572" s="118"/>
      <c r="H572" s="19"/>
      <c r="I572" s="118" t="s">
        <v>17</v>
      </c>
      <c r="J572" s="58">
        <v>37941</v>
      </c>
      <c r="K572" s="116">
        <f t="shared" si="18"/>
        <v>571</v>
      </c>
      <c r="L572" s="19"/>
      <c r="M572" s="20"/>
    </row>
    <row r="573" s="17" customFormat="1" ht="21" customHeight="1" spans="1:13">
      <c r="A573" s="116">
        <f t="shared" si="17"/>
        <v>572</v>
      </c>
      <c r="B573" s="119" t="s">
        <v>665</v>
      </c>
      <c r="C573" s="19" t="s">
        <v>322</v>
      </c>
      <c r="D573" s="19" t="s">
        <v>18</v>
      </c>
      <c r="E573" s="124" t="s">
        <v>668</v>
      </c>
      <c r="F573" s="19" t="s">
        <v>16</v>
      </c>
      <c r="G573" s="118"/>
      <c r="H573" s="19"/>
      <c r="I573" s="118" t="s">
        <v>20</v>
      </c>
      <c r="J573" s="58">
        <v>37941</v>
      </c>
      <c r="K573" s="116">
        <f t="shared" si="18"/>
        <v>572</v>
      </c>
      <c r="L573" s="19"/>
      <c r="M573" s="20"/>
    </row>
    <row r="574" s="17" customFormat="1" ht="21" customHeight="1" spans="1:13">
      <c r="A574" s="116">
        <f t="shared" si="17"/>
        <v>573</v>
      </c>
      <c r="B574" s="119" t="s">
        <v>665</v>
      </c>
      <c r="C574" s="19" t="s">
        <v>322</v>
      </c>
      <c r="D574" s="19" t="s">
        <v>18</v>
      </c>
      <c r="E574" s="124" t="s">
        <v>163</v>
      </c>
      <c r="F574" s="19" t="s">
        <v>16</v>
      </c>
      <c r="G574" s="118"/>
      <c r="H574" s="19"/>
      <c r="I574" s="118" t="s">
        <v>36</v>
      </c>
      <c r="J574" s="58">
        <v>37941</v>
      </c>
      <c r="K574" s="116">
        <f t="shared" si="18"/>
        <v>573</v>
      </c>
      <c r="L574" s="19"/>
      <c r="M574" s="20"/>
    </row>
    <row r="575" s="17" customFormat="1" ht="21" customHeight="1" spans="1:13">
      <c r="A575" s="116">
        <f t="shared" si="17"/>
        <v>574</v>
      </c>
      <c r="B575" s="119" t="s">
        <v>665</v>
      </c>
      <c r="C575" s="19" t="s">
        <v>322</v>
      </c>
      <c r="D575" s="19" t="s">
        <v>18</v>
      </c>
      <c r="E575" s="124" t="s">
        <v>60</v>
      </c>
      <c r="F575" s="19" t="s">
        <v>16</v>
      </c>
      <c r="G575" s="118"/>
      <c r="H575" s="19"/>
      <c r="I575" s="118" t="s">
        <v>36</v>
      </c>
      <c r="J575" s="58">
        <v>37941</v>
      </c>
      <c r="K575" s="116">
        <f t="shared" si="18"/>
        <v>574</v>
      </c>
      <c r="L575" s="19"/>
      <c r="M575" s="20"/>
    </row>
    <row r="576" s="17" customFormat="1" ht="21" customHeight="1" spans="1:13">
      <c r="A576" s="116">
        <f t="shared" si="17"/>
        <v>575</v>
      </c>
      <c r="B576" s="121" t="s">
        <v>669</v>
      </c>
      <c r="C576" s="19" t="s">
        <v>13</v>
      </c>
      <c r="D576" s="19" t="s">
        <v>18</v>
      </c>
      <c r="E576" s="126" t="s">
        <v>670</v>
      </c>
      <c r="F576" s="19" t="s">
        <v>16</v>
      </c>
      <c r="G576" s="118"/>
      <c r="H576" s="19"/>
      <c r="I576" s="118" t="s">
        <v>36</v>
      </c>
      <c r="J576" s="58">
        <v>42051</v>
      </c>
      <c r="K576" s="116">
        <f t="shared" si="18"/>
        <v>575</v>
      </c>
      <c r="L576" s="19" t="s">
        <v>671</v>
      </c>
      <c r="M576" s="20"/>
    </row>
    <row r="577" s="17" customFormat="1" ht="21" customHeight="1" spans="1:16">
      <c r="A577" s="116">
        <f t="shared" si="17"/>
        <v>576</v>
      </c>
      <c r="B577" s="121" t="s">
        <v>672</v>
      </c>
      <c r="C577" s="19" t="s">
        <v>13</v>
      </c>
      <c r="D577" s="19" t="s">
        <v>18</v>
      </c>
      <c r="E577" s="126" t="s">
        <v>673</v>
      </c>
      <c r="F577" s="19" t="s">
        <v>16</v>
      </c>
      <c r="G577" s="118"/>
      <c r="H577" s="19"/>
      <c r="I577" s="118" t="s">
        <v>17</v>
      </c>
      <c r="J577" s="58">
        <v>42051</v>
      </c>
      <c r="K577" s="116">
        <f t="shared" si="18"/>
        <v>576</v>
      </c>
      <c r="L577" s="19"/>
      <c r="M577" s="20"/>
    </row>
    <row r="578" s="17" customFormat="1" ht="21" customHeight="1" spans="1:16">
      <c r="A578" s="116">
        <f t="shared" si="17"/>
        <v>577</v>
      </c>
      <c r="B578" s="121" t="s">
        <v>674</v>
      </c>
      <c r="C578" s="19" t="s">
        <v>13</v>
      </c>
      <c r="D578" s="19" t="s">
        <v>18</v>
      </c>
      <c r="E578" s="126" t="s">
        <v>184</v>
      </c>
      <c r="F578" s="19" t="s">
        <v>16</v>
      </c>
      <c r="G578" s="118"/>
      <c r="H578" s="19"/>
      <c r="I578" s="118" t="s">
        <v>20</v>
      </c>
      <c r="J578" s="58">
        <v>42051</v>
      </c>
      <c r="K578" s="116">
        <f t="shared" si="18"/>
        <v>577</v>
      </c>
      <c r="L578" s="19"/>
      <c r="M578" s="20"/>
    </row>
    <row r="579" s="17" customFormat="1" ht="21" customHeight="1" spans="1:16">
      <c r="A579" s="116">
        <f t="shared" si="17"/>
        <v>578</v>
      </c>
      <c r="B579" s="121" t="s">
        <v>675</v>
      </c>
      <c r="C579" s="19" t="s">
        <v>13</v>
      </c>
      <c r="D579" s="19" t="s">
        <v>18</v>
      </c>
      <c r="E579" s="126" t="s">
        <v>163</v>
      </c>
      <c r="F579" s="19" t="s">
        <v>16</v>
      </c>
      <c r="G579" s="118"/>
      <c r="H579" s="19"/>
      <c r="I579" s="118" t="s">
        <v>20</v>
      </c>
      <c r="J579" s="58">
        <v>42051</v>
      </c>
      <c r="K579" s="116">
        <f t="shared" si="18"/>
        <v>578</v>
      </c>
      <c r="L579" s="19"/>
      <c r="M579" s="20"/>
    </row>
    <row r="580" s="17" customFormat="1" ht="21" customHeight="1" spans="1:16">
      <c r="A580" s="116">
        <f t="shared" ref="A580:A638" si="19">ROW(L580)-1</f>
        <v>579</v>
      </c>
      <c r="B580" s="121" t="s">
        <v>676</v>
      </c>
      <c r="C580" s="19" t="s">
        <v>13</v>
      </c>
      <c r="D580" s="19" t="s">
        <v>18</v>
      </c>
      <c r="E580" s="126" t="s">
        <v>677</v>
      </c>
      <c r="F580" s="19" t="s">
        <v>16</v>
      </c>
      <c r="G580" s="118"/>
      <c r="H580" s="19"/>
      <c r="I580" s="118" t="s">
        <v>20</v>
      </c>
      <c r="J580" s="58">
        <v>42051</v>
      </c>
      <c r="K580" s="116">
        <f t="shared" si="18"/>
        <v>579</v>
      </c>
      <c r="L580" s="19"/>
      <c r="M580" s="20"/>
    </row>
    <row r="581" s="17" customFormat="1" ht="21" customHeight="1" spans="1:16">
      <c r="A581" s="116">
        <f t="shared" si="19"/>
        <v>580</v>
      </c>
      <c r="B581" s="121" t="s">
        <v>678</v>
      </c>
      <c r="C581" s="19" t="s">
        <v>13</v>
      </c>
      <c r="D581" s="19" t="s">
        <v>82</v>
      </c>
      <c r="E581" s="126" t="s">
        <v>679</v>
      </c>
      <c r="F581" s="19" t="s">
        <v>16</v>
      </c>
      <c r="G581" s="118"/>
      <c r="H581" s="19"/>
      <c r="I581" s="118" t="s">
        <v>38</v>
      </c>
      <c r="J581" s="58">
        <v>42051</v>
      </c>
      <c r="K581" s="116">
        <f t="shared" si="18"/>
        <v>580</v>
      </c>
      <c r="L581" s="19"/>
      <c r="M581" s="20"/>
    </row>
    <row r="582" s="17" customFormat="1" ht="21" customHeight="1" spans="1:16">
      <c r="A582" s="116">
        <f t="shared" si="19"/>
        <v>581</v>
      </c>
      <c r="B582" s="121" t="s">
        <v>680</v>
      </c>
      <c r="C582" s="19" t="s">
        <v>13</v>
      </c>
      <c r="D582" s="19" t="s">
        <v>18</v>
      </c>
      <c r="E582" s="126" t="s">
        <v>681</v>
      </c>
      <c r="F582" s="19" t="s">
        <v>16</v>
      </c>
      <c r="G582" s="118"/>
      <c r="H582" s="19"/>
      <c r="I582" s="118" t="s">
        <v>20</v>
      </c>
      <c r="J582" s="58">
        <v>42051</v>
      </c>
      <c r="K582" s="116">
        <f t="shared" si="18"/>
        <v>581</v>
      </c>
      <c r="L582" s="19"/>
      <c r="M582" s="20"/>
    </row>
    <row r="583" s="17" customFormat="1" ht="21" customHeight="1" spans="1:16">
      <c r="A583" s="116">
        <f t="shared" si="19"/>
        <v>582</v>
      </c>
      <c r="B583" s="120">
        <v>1768250</v>
      </c>
      <c r="C583" s="19" t="s">
        <v>13</v>
      </c>
      <c r="D583" s="19" t="s">
        <v>18</v>
      </c>
      <c r="E583" s="126" t="s">
        <v>673</v>
      </c>
      <c r="F583" s="19" t="s">
        <v>92</v>
      </c>
      <c r="G583" s="118" t="s">
        <v>181</v>
      </c>
      <c r="H583" s="19"/>
      <c r="I583" s="118" t="s">
        <v>17</v>
      </c>
      <c r="J583" s="58">
        <v>42051</v>
      </c>
      <c r="K583" s="116">
        <f t="shared" si="18"/>
        <v>582</v>
      </c>
      <c r="L583" s="19"/>
      <c r="M583" s="20"/>
    </row>
    <row r="584" s="17" customFormat="1" ht="21" customHeight="1" spans="1:16">
      <c r="A584" s="116">
        <f t="shared" si="19"/>
        <v>583</v>
      </c>
      <c r="B584" s="121" t="s">
        <v>682</v>
      </c>
      <c r="C584" s="19" t="s">
        <v>13</v>
      </c>
      <c r="D584" s="19" t="s">
        <v>18</v>
      </c>
      <c r="E584" s="126" t="s">
        <v>683</v>
      </c>
      <c r="F584" s="19" t="s">
        <v>16</v>
      </c>
      <c r="G584" s="118"/>
      <c r="H584" s="19"/>
      <c r="I584" s="118" t="s">
        <v>20</v>
      </c>
      <c r="J584" s="58">
        <v>42051</v>
      </c>
      <c r="K584" s="116">
        <f t="shared" si="18"/>
        <v>583</v>
      </c>
      <c r="L584" s="19"/>
      <c r="M584" s="20"/>
    </row>
    <row r="585" s="17" customFormat="1" ht="21" customHeight="1" spans="1:16">
      <c r="A585" s="116">
        <f t="shared" si="19"/>
        <v>584</v>
      </c>
      <c r="B585" s="121" t="s">
        <v>684</v>
      </c>
      <c r="C585" s="19" t="s">
        <v>13</v>
      </c>
      <c r="D585" s="19" t="s">
        <v>18</v>
      </c>
      <c r="E585" s="126" t="s">
        <v>163</v>
      </c>
      <c r="F585" s="19" t="s">
        <v>16</v>
      </c>
      <c r="G585" s="118"/>
      <c r="H585" s="19"/>
      <c r="I585" s="118" t="s">
        <v>20</v>
      </c>
      <c r="J585" s="58">
        <v>42051</v>
      </c>
      <c r="K585" s="116">
        <f t="shared" si="18"/>
        <v>584</v>
      </c>
      <c r="L585" s="19"/>
      <c r="M585" s="20"/>
    </row>
    <row r="586" s="17" customFormat="1" ht="21" customHeight="1" spans="1:16">
      <c r="A586" s="116">
        <f t="shared" si="19"/>
        <v>585</v>
      </c>
      <c r="B586" s="120">
        <v>1768850</v>
      </c>
      <c r="C586" s="19" t="s">
        <v>13</v>
      </c>
      <c r="D586" s="19" t="s">
        <v>18</v>
      </c>
      <c r="E586" s="126" t="s">
        <v>673</v>
      </c>
      <c r="F586" s="19" t="s">
        <v>92</v>
      </c>
      <c r="G586" s="118" t="s">
        <v>181</v>
      </c>
      <c r="H586" s="19"/>
      <c r="I586" s="118" t="s">
        <v>17</v>
      </c>
      <c r="J586" s="58">
        <v>42051</v>
      </c>
      <c r="K586" s="116">
        <f t="shared" si="18"/>
        <v>585</v>
      </c>
      <c r="L586" s="19"/>
      <c r="M586" s="20"/>
    </row>
    <row r="587" s="17" customFormat="1" ht="21" customHeight="1" spans="1:16">
      <c r="A587" s="116">
        <f t="shared" si="19"/>
        <v>586</v>
      </c>
      <c r="B587" s="120">
        <v>1770250</v>
      </c>
      <c r="C587" s="19" t="s">
        <v>13</v>
      </c>
      <c r="D587" s="19" t="s">
        <v>18</v>
      </c>
      <c r="E587" s="126" t="s">
        <v>673</v>
      </c>
      <c r="F587" s="19" t="s">
        <v>16</v>
      </c>
      <c r="G587" s="118"/>
      <c r="H587" s="19"/>
      <c r="I587" s="118" t="s">
        <v>17</v>
      </c>
      <c r="J587" s="58">
        <v>42051</v>
      </c>
      <c r="K587" s="116">
        <f t="shared" si="18"/>
        <v>586</v>
      </c>
      <c r="L587" s="19"/>
      <c r="M587" s="20"/>
    </row>
    <row r="588" s="17" customFormat="1" ht="21" customHeight="1" spans="1:16">
      <c r="A588" s="116">
        <f t="shared" si="19"/>
        <v>587</v>
      </c>
      <c r="B588" s="121" t="s">
        <v>685</v>
      </c>
      <c r="C588" s="19" t="s">
        <v>13</v>
      </c>
      <c r="D588" s="19" t="s">
        <v>18</v>
      </c>
      <c r="E588" s="126" t="s">
        <v>686</v>
      </c>
      <c r="F588" s="19" t="s">
        <v>16</v>
      </c>
      <c r="G588" s="118"/>
      <c r="H588" s="19"/>
      <c r="I588" s="118" t="s">
        <v>20</v>
      </c>
      <c r="J588" s="58">
        <v>42051</v>
      </c>
      <c r="K588" s="116">
        <f t="shared" si="18"/>
        <v>587</v>
      </c>
      <c r="L588" s="19"/>
      <c r="M588" s="20"/>
    </row>
    <row r="589" s="17" customFormat="1" ht="21" customHeight="1" spans="1:16">
      <c r="A589" s="116">
        <f t="shared" si="19"/>
        <v>588</v>
      </c>
      <c r="B589" s="121" t="s">
        <v>687</v>
      </c>
      <c r="C589" s="19" t="s">
        <v>13</v>
      </c>
      <c r="D589" s="19" t="s">
        <v>18</v>
      </c>
      <c r="E589" s="126" t="s">
        <v>688</v>
      </c>
      <c r="F589" s="19" t="s">
        <v>16</v>
      </c>
      <c r="G589" s="118"/>
      <c r="H589" s="19"/>
      <c r="I589" s="118" t="s">
        <v>20</v>
      </c>
      <c r="J589" s="58">
        <v>42051</v>
      </c>
      <c r="K589" s="116">
        <f t="shared" si="18"/>
        <v>588</v>
      </c>
      <c r="L589" s="19"/>
      <c r="M589" s="20"/>
    </row>
    <row r="590" s="17" customFormat="1" ht="21" customHeight="1" spans="1:16">
      <c r="A590" s="116">
        <f t="shared" si="19"/>
        <v>589</v>
      </c>
      <c r="B590" s="121" t="s">
        <v>689</v>
      </c>
      <c r="C590" s="19" t="s">
        <v>13</v>
      </c>
      <c r="D590" s="19" t="s">
        <v>18</v>
      </c>
      <c r="E590" s="126" t="s">
        <v>679</v>
      </c>
      <c r="F590" s="19" t="s">
        <v>16</v>
      </c>
      <c r="G590" s="118"/>
      <c r="H590" s="19"/>
      <c r="I590" s="118" t="s">
        <v>38</v>
      </c>
      <c r="J590" s="58">
        <v>42051</v>
      </c>
      <c r="K590" s="116">
        <f t="shared" si="18"/>
        <v>589</v>
      </c>
      <c r="L590" s="19"/>
      <c r="M590" s="127"/>
      <c r="N590" s="128"/>
      <c r="O590" s="128"/>
      <c r="P590" s="129"/>
    </row>
    <row r="591" s="17" customFormat="1" ht="21" customHeight="1" spans="1:16">
      <c r="A591" s="116">
        <f t="shared" si="19"/>
        <v>590</v>
      </c>
      <c r="B591" s="121" t="s">
        <v>690</v>
      </c>
      <c r="C591" s="19" t="s">
        <v>13</v>
      </c>
      <c r="D591" s="19" t="s">
        <v>18</v>
      </c>
      <c r="E591" s="126" t="s">
        <v>691</v>
      </c>
      <c r="F591" s="19" t="s">
        <v>16</v>
      </c>
      <c r="G591" s="118"/>
      <c r="H591" s="19"/>
      <c r="I591" s="118" t="s">
        <v>17</v>
      </c>
      <c r="J591" s="58">
        <v>42051</v>
      </c>
      <c r="K591" s="116">
        <f t="shared" si="18"/>
        <v>590</v>
      </c>
      <c r="L591" s="19"/>
      <c r="M591" s="130"/>
      <c r="N591" s="104"/>
      <c r="O591" s="104"/>
      <c r="P591" s="104"/>
    </row>
    <row r="592" s="17" customFormat="1" ht="21" customHeight="1" spans="1:16">
      <c r="A592" s="116">
        <f t="shared" si="19"/>
        <v>591</v>
      </c>
      <c r="B592" s="121" t="s">
        <v>692</v>
      </c>
      <c r="C592" s="19" t="s">
        <v>13</v>
      </c>
      <c r="D592" s="19" t="s">
        <v>18</v>
      </c>
      <c r="E592" s="126" t="s">
        <v>693</v>
      </c>
      <c r="F592" s="19" t="s">
        <v>16</v>
      </c>
      <c r="G592" s="118"/>
      <c r="H592" s="19"/>
      <c r="I592" s="118" t="s">
        <v>304</v>
      </c>
      <c r="J592" s="58">
        <v>42051</v>
      </c>
      <c r="K592" s="116">
        <f t="shared" si="18"/>
        <v>591</v>
      </c>
      <c r="L592" s="19"/>
      <c r="M592" s="20"/>
    </row>
    <row r="593" s="17" customFormat="1" ht="21" customHeight="1" spans="1:13">
      <c r="A593" s="116">
        <f t="shared" si="19"/>
        <v>592</v>
      </c>
      <c r="B593" s="121" t="s">
        <v>694</v>
      </c>
      <c r="C593" s="19" t="s">
        <v>13</v>
      </c>
      <c r="D593" s="19" t="s">
        <v>18</v>
      </c>
      <c r="E593" s="126" t="s">
        <v>695</v>
      </c>
      <c r="F593" s="19" t="s">
        <v>16</v>
      </c>
      <c r="G593" s="118"/>
      <c r="H593" s="19"/>
      <c r="I593" s="118" t="s">
        <v>38</v>
      </c>
      <c r="J593" s="58">
        <v>42051</v>
      </c>
      <c r="K593" s="116">
        <f t="shared" si="18"/>
        <v>592</v>
      </c>
      <c r="L593" s="19"/>
      <c r="M593" s="20"/>
    </row>
    <row r="594" s="17" customFormat="1" ht="21" customHeight="1" spans="1:13">
      <c r="A594" s="116">
        <f t="shared" si="19"/>
        <v>593</v>
      </c>
      <c r="B594" s="121" t="s">
        <v>696</v>
      </c>
      <c r="C594" s="19" t="s">
        <v>13</v>
      </c>
      <c r="D594" s="19" t="s">
        <v>18</v>
      </c>
      <c r="E594" s="126" t="s">
        <v>697</v>
      </c>
      <c r="F594" s="19" t="s">
        <v>16</v>
      </c>
      <c r="G594" s="118"/>
      <c r="H594" s="19"/>
      <c r="I594" s="118" t="s">
        <v>38</v>
      </c>
      <c r="J594" s="58">
        <v>42051</v>
      </c>
      <c r="K594" s="116">
        <f t="shared" si="18"/>
        <v>593</v>
      </c>
      <c r="L594" s="19"/>
      <c r="M594" s="20"/>
    </row>
    <row r="595" s="17" customFormat="1" ht="21" customHeight="1" spans="1:13">
      <c r="A595" s="116">
        <f t="shared" si="19"/>
        <v>594</v>
      </c>
      <c r="B595" s="121" t="s">
        <v>698</v>
      </c>
      <c r="C595" s="19" t="s">
        <v>13</v>
      </c>
      <c r="D595" s="19" t="s">
        <v>18</v>
      </c>
      <c r="E595" s="126" t="s">
        <v>246</v>
      </c>
      <c r="F595" s="19" t="s">
        <v>16</v>
      </c>
      <c r="G595" s="118"/>
      <c r="H595" s="19"/>
      <c r="I595" s="118" t="s">
        <v>17</v>
      </c>
      <c r="J595" s="58">
        <v>42051</v>
      </c>
      <c r="K595" s="116">
        <f t="shared" si="18"/>
        <v>594</v>
      </c>
      <c r="L595" s="19"/>
      <c r="M595" s="20"/>
    </row>
    <row r="596" s="17" customFormat="1" ht="21" customHeight="1" spans="1:13">
      <c r="A596" s="116">
        <f t="shared" si="19"/>
        <v>595</v>
      </c>
      <c r="B596" s="121" t="s">
        <v>699</v>
      </c>
      <c r="C596" s="19" t="s">
        <v>13</v>
      </c>
      <c r="D596" s="19" t="s">
        <v>18</v>
      </c>
      <c r="E596" s="126" t="s">
        <v>700</v>
      </c>
      <c r="F596" s="19" t="s">
        <v>16</v>
      </c>
      <c r="G596" s="118"/>
      <c r="H596" s="19"/>
      <c r="I596" s="118" t="s">
        <v>17</v>
      </c>
      <c r="J596" s="58">
        <v>42051</v>
      </c>
      <c r="K596" s="116">
        <f t="shared" si="18"/>
        <v>595</v>
      </c>
      <c r="L596" s="19"/>
      <c r="M596" s="20"/>
    </row>
    <row r="597" s="17" customFormat="1" ht="21" customHeight="1" spans="1:13">
      <c r="A597" s="116">
        <f t="shared" si="19"/>
        <v>596</v>
      </c>
      <c r="B597" s="121" t="s">
        <v>701</v>
      </c>
      <c r="C597" s="19" t="s">
        <v>13</v>
      </c>
      <c r="D597" s="19" t="s">
        <v>18</v>
      </c>
      <c r="E597" s="126" t="s">
        <v>702</v>
      </c>
      <c r="F597" s="19" t="s">
        <v>16</v>
      </c>
      <c r="G597" s="118"/>
      <c r="H597" s="19"/>
      <c r="I597" s="118" t="s">
        <v>20</v>
      </c>
      <c r="J597" s="58">
        <v>42051</v>
      </c>
      <c r="K597" s="116">
        <f t="shared" si="18"/>
        <v>596</v>
      </c>
      <c r="L597" s="19"/>
      <c r="M597" s="20"/>
    </row>
    <row r="598" s="17" customFormat="1" ht="21" customHeight="1" spans="1:13">
      <c r="A598" s="116">
        <f t="shared" si="19"/>
        <v>597</v>
      </c>
      <c r="B598" s="121" t="s">
        <v>703</v>
      </c>
      <c r="C598" s="19" t="s">
        <v>13</v>
      </c>
      <c r="D598" s="19" t="s">
        <v>18</v>
      </c>
      <c r="E598" s="126" t="s">
        <v>704</v>
      </c>
      <c r="F598" s="19" t="s">
        <v>16</v>
      </c>
      <c r="G598" s="118"/>
      <c r="H598" s="19"/>
      <c r="I598" s="118" t="s">
        <v>20</v>
      </c>
      <c r="J598" s="58">
        <v>42051</v>
      </c>
      <c r="K598" s="116">
        <f t="shared" si="18"/>
        <v>597</v>
      </c>
      <c r="L598" s="19"/>
      <c r="M598" s="20"/>
    </row>
    <row r="599" s="17" customFormat="1" ht="21" customHeight="1" spans="1:13">
      <c r="A599" s="116">
        <f t="shared" si="19"/>
        <v>598</v>
      </c>
      <c r="B599" s="121" t="s">
        <v>705</v>
      </c>
      <c r="C599" s="19" t="s">
        <v>13</v>
      </c>
      <c r="D599" s="19" t="s">
        <v>18</v>
      </c>
      <c r="E599" s="126" t="s">
        <v>706</v>
      </c>
      <c r="F599" s="19" t="s">
        <v>16</v>
      </c>
      <c r="G599" s="118"/>
      <c r="H599" s="19"/>
      <c r="I599" s="118" t="s">
        <v>20</v>
      </c>
      <c r="J599" s="58">
        <v>42051</v>
      </c>
      <c r="K599" s="116">
        <f t="shared" si="18"/>
        <v>598</v>
      </c>
      <c r="L599" s="19"/>
      <c r="M599" s="20"/>
    </row>
    <row r="600" s="17" customFormat="1" ht="21" customHeight="1" spans="1:13">
      <c r="A600" s="116">
        <f t="shared" si="19"/>
        <v>599</v>
      </c>
      <c r="B600" s="120">
        <v>1775000</v>
      </c>
      <c r="C600" s="19" t="s">
        <v>13</v>
      </c>
      <c r="D600" s="19" t="s">
        <v>18</v>
      </c>
      <c r="E600" s="126" t="s">
        <v>673</v>
      </c>
      <c r="F600" s="19" t="s">
        <v>92</v>
      </c>
      <c r="G600" s="118" t="s">
        <v>181</v>
      </c>
      <c r="H600" s="19"/>
      <c r="I600" s="118" t="s">
        <v>17</v>
      </c>
      <c r="J600" s="58">
        <v>42051</v>
      </c>
      <c r="K600" s="116">
        <f t="shared" si="18"/>
        <v>599</v>
      </c>
      <c r="L600" s="19"/>
      <c r="M600" s="20"/>
    </row>
    <row r="601" s="17" customFormat="1" ht="21" customHeight="1" spans="1:13">
      <c r="A601" s="116">
        <f t="shared" si="19"/>
        <v>600</v>
      </c>
      <c r="B601" s="121" t="s">
        <v>707</v>
      </c>
      <c r="C601" s="19" t="s">
        <v>13</v>
      </c>
      <c r="D601" s="19" t="s">
        <v>18</v>
      </c>
      <c r="E601" s="126" t="s">
        <v>163</v>
      </c>
      <c r="F601" s="19" t="s">
        <v>16</v>
      </c>
      <c r="G601" s="118"/>
      <c r="H601" s="19"/>
      <c r="I601" s="118" t="s">
        <v>20</v>
      </c>
      <c r="J601" s="58">
        <v>42051</v>
      </c>
      <c r="K601" s="116">
        <f t="shared" si="18"/>
        <v>600</v>
      </c>
      <c r="L601" s="19"/>
      <c r="M601" s="20"/>
    </row>
    <row r="602" s="17" customFormat="1" ht="21" customHeight="1" spans="1:13">
      <c r="A602" s="116">
        <f t="shared" si="19"/>
        <v>601</v>
      </c>
      <c r="B602" s="121" t="s">
        <v>708</v>
      </c>
      <c r="C602" s="19" t="s">
        <v>13</v>
      </c>
      <c r="D602" s="19" t="s">
        <v>18</v>
      </c>
      <c r="E602" s="126" t="s">
        <v>709</v>
      </c>
      <c r="F602" s="19" t="s">
        <v>16</v>
      </c>
      <c r="G602" s="118"/>
      <c r="H602" s="19"/>
      <c r="I602" s="118" t="s">
        <v>38</v>
      </c>
      <c r="J602" s="58">
        <v>42051</v>
      </c>
      <c r="K602" s="116">
        <f t="shared" si="18"/>
        <v>601</v>
      </c>
      <c r="L602" s="19"/>
      <c r="M602" s="20"/>
    </row>
    <row r="603" s="17" customFormat="1" ht="21" customHeight="1" spans="1:13">
      <c r="A603" s="116">
        <f t="shared" si="19"/>
        <v>602</v>
      </c>
      <c r="B603" s="121" t="s">
        <v>710</v>
      </c>
      <c r="C603" s="19" t="s">
        <v>13</v>
      </c>
      <c r="D603" s="19" t="s">
        <v>82</v>
      </c>
      <c r="E603" s="126" t="s">
        <v>679</v>
      </c>
      <c r="F603" s="19" t="s">
        <v>16</v>
      </c>
      <c r="G603" s="122"/>
      <c r="H603" s="122"/>
      <c r="I603" s="118" t="s">
        <v>38</v>
      </c>
      <c r="J603" s="58">
        <v>42051</v>
      </c>
      <c r="K603" s="116">
        <f t="shared" si="18"/>
        <v>602</v>
      </c>
      <c r="L603" s="122"/>
      <c r="M603" s="20"/>
    </row>
    <row r="604" s="17" customFormat="1" ht="21" customHeight="1" spans="1:13">
      <c r="A604" s="116">
        <f t="shared" si="19"/>
        <v>603</v>
      </c>
      <c r="B604" s="119">
        <v>1776503</v>
      </c>
      <c r="C604" s="19" t="s">
        <v>13</v>
      </c>
      <c r="D604" s="19" t="s">
        <v>18</v>
      </c>
      <c r="E604" s="124" t="s">
        <v>673</v>
      </c>
      <c r="F604" s="19" t="s">
        <v>92</v>
      </c>
      <c r="G604" s="118" t="s">
        <v>181</v>
      </c>
      <c r="H604" s="19"/>
      <c r="I604" s="118" t="s">
        <v>17</v>
      </c>
      <c r="J604" s="58">
        <v>42051</v>
      </c>
      <c r="K604" s="116">
        <f t="shared" si="18"/>
        <v>603</v>
      </c>
      <c r="L604" s="19"/>
      <c r="M604" s="20"/>
    </row>
    <row r="605" s="17" customFormat="1" ht="21" customHeight="1" spans="1:13">
      <c r="A605" s="116">
        <f t="shared" si="19"/>
        <v>604</v>
      </c>
      <c r="B605" s="119">
        <v>1777000</v>
      </c>
      <c r="C605" s="19" t="s">
        <v>13</v>
      </c>
      <c r="D605" s="19" t="s">
        <v>82</v>
      </c>
      <c r="E605" s="124" t="s">
        <v>114</v>
      </c>
      <c r="F605" s="19" t="s">
        <v>65</v>
      </c>
      <c r="G605" s="118" t="s">
        <v>112</v>
      </c>
      <c r="H605" s="19"/>
      <c r="I605" s="118" t="s">
        <v>17</v>
      </c>
      <c r="J605" s="58">
        <v>42051</v>
      </c>
      <c r="K605" s="116">
        <f t="shared" si="18"/>
        <v>604</v>
      </c>
      <c r="L605" s="19"/>
      <c r="M605" s="20"/>
    </row>
    <row r="606" s="17" customFormat="1" ht="21" customHeight="1" spans="1:13">
      <c r="A606" s="116">
        <f t="shared" si="19"/>
        <v>605</v>
      </c>
      <c r="B606" s="119">
        <v>1777150</v>
      </c>
      <c r="C606" s="19" t="s">
        <v>13</v>
      </c>
      <c r="D606" s="19" t="s">
        <v>82</v>
      </c>
      <c r="E606" s="124" t="s">
        <v>111</v>
      </c>
      <c r="F606" s="19" t="s">
        <v>65</v>
      </c>
      <c r="G606" s="118" t="s">
        <v>112</v>
      </c>
      <c r="H606" s="19"/>
      <c r="I606" s="118" t="s">
        <v>17</v>
      </c>
      <c r="J606" s="58">
        <v>42051</v>
      </c>
      <c r="K606" s="116">
        <f t="shared" si="18"/>
        <v>605</v>
      </c>
      <c r="L606" s="19"/>
      <c r="M606" s="20"/>
    </row>
    <row r="607" s="17" customFormat="1" ht="21" customHeight="1" spans="1:13">
      <c r="A607" s="116">
        <f t="shared" si="19"/>
        <v>606</v>
      </c>
      <c r="B607" s="119">
        <v>1777200</v>
      </c>
      <c r="C607" s="19" t="s">
        <v>13</v>
      </c>
      <c r="D607" s="19" t="s">
        <v>82</v>
      </c>
      <c r="E607" s="124" t="s">
        <v>711</v>
      </c>
      <c r="F607" s="19" t="s">
        <v>65</v>
      </c>
      <c r="G607" s="118" t="s">
        <v>58</v>
      </c>
      <c r="H607" s="19"/>
      <c r="I607" s="118" t="s">
        <v>17</v>
      </c>
      <c r="J607" s="58">
        <v>42051</v>
      </c>
      <c r="K607" s="116">
        <f t="shared" si="18"/>
        <v>606</v>
      </c>
      <c r="L607" s="19"/>
      <c r="M607" s="20"/>
    </row>
    <row r="608" s="17" customFormat="1" ht="21" customHeight="1" spans="1:13">
      <c r="A608" s="116">
        <f t="shared" si="19"/>
        <v>607</v>
      </c>
      <c r="B608" s="121" t="s">
        <v>669</v>
      </c>
      <c r="C608" s="19" t="s">
        <v>322</v>
      </c>
      <c r="D608" s="19" t="s">
        <v>18</v>
      </c>
      <c r="E608" s="126" t="s">
        <v>712</v>
      </c>
      <c r="F608" s="19" t="s">
        <v>16</v>
      </c>
      <c r="G608" s="118"/>
      <c r="H608" s="19"/>
      <c r="I608" s="118" t="s">
        <v>36</v>
      </c>
      <c r="J608" s="58">
        <v>42051</v>
      </c>
      <c r="K608" s="116">
        <f t="shared" si="18"/>
        <v>607</v>
      </c>
      <c r="L608" s="19"/>
      <c r="M608" s="20"/>
    </row>
    <row r="609" s="17" customFormat="1" ht="21" customHeight="1" spans="1:13">
      <c r="A609" s="116">
        <f t="shared" si="19"/>
        <v>608</v>
      </c>
      <c r="B609" s="121" t="s">
        <v>713</v>
      </c>
      <c r="C609" s="19" t="s">
        <v>322</v>
      </c>
      <c r="D609" s="19" t="s">
        <v>18</v>
      </c>
      <c r="E609" s="126" t="s">
        <v>677</v>
      </c>
      <c r="F609" s="19" t="s">
        <v>16</v>
      </c>
      <c r="G609" s="118"/>
      <c r="H609" s="19"/>
      <c r="I609" s="118" t="s">
        <v>20</v>
      </c>
      <c r="J609" s="58">
        <v>42051</v>
      </c>
      <c r="K609" s="116">
        <f t="shared" si="18"/>
        <v>608</v>
      </c>
      <c r="L609" s="19"/>
      <c r="M609" s="20"/>
    </row>
    <row r="610" s="17" customFormat="1" ht="21" customHeight="1" spans="1:13">
      <c r="A610" s="116">
        <f t="shared" si="19"/>
        <v>609</v>
      </c>
      <c r="B610" s="121" t="s">
        <v>714</v>
      </c>
      <c r="C610" s="19" t="s">
        <v>322</v>
      </c>
      <c r="D610" s="19" t="s">
        <v>18</v>
      </c>
      <c r="E610" s="126" t="s">
        <v>184</v>
      </c>
      <c r="F610" s="19" t="s">
        <v>16</v>
      </c>
      <c r="G610" s="118"/>
      <c r="H610" s="19"/>
      <c r="I610" s="118" t="s">
        <v>20</v>
      </c>
      <c r="J610" s="58">
        <v>42051</v>
      </c>
      <c r="K610" s="116">
        <f t="shared" si="18"/>
        <v>609</v>
      </c>
      <c r="L610" s="19"/>
      <c r="M610" s="20"/>
    </row>
    <row r="611" s="17" customFormat="1" ht="21" customHeight="1" spans="1:13">
      <c r="A611" s="116">
        <f t="shared" si="19"/>
        <v>610</v>
      </c>
      <c r="B611" s="120">
        <v>1762100</v>
      </c>
      <c r="C611" s="19" t="s">
        <v>322</v>
      </c>
      <c r="D611" s="19" t="s">
        <v>18</v>
      </c>
      <c r="E611" s="126" t="s">
        <v>673</v>
      </c>
      <c r="F611" s="19" t="s">
        <v>92</v>
      </c>
      <c r="G611" s="118" t="s">
        <v>181</v>
      </c>
      <c r="H611" s="19"/>
      <c r="I611" s="118" t="s">
        <v>17</v>
      </c>
      <c r="J611" s="58">
        <v>42051</v>
      </c>
      <c r="K611" s="116">
        <f t="shared" si="18"/>
        <v>610</v>
      </c>
      <c r="L611" s="19"/>
      <c r="M611" s="20"/>
    </row>
    <row r="612" s="17" customFormat="1" ht="21" customHeight="1" spans="1:13">
      <c r="A612" s="116">
        <f t="shared" si="19"/>
        <v>611</v>
      </c>
      <c r="B612" s="121" t="s">
        <v>715</v>
      </c>
      <c r="C612" s="19" t="s">
        <v>322</v>
      </c>
      <c r="D612" s="19" t="s">
        <v>18</v>
      </c>
      <c r="E612" s="126" t="s">
        <v>681</v>
      </c>
      <c r="F612" s="19" t="s">
        <v>16</v>
      </c>
      <c r="G612" s="118"/>
      <c r="H612" s="19"/>
      <c r="I612" s="118" t="s">
        <v>20</v>
      </c>
      <c r="J612" s="58">
        <v>42051</v>
      </c>
      <c r="K612" s="116">
        <f t="shared" si="18"/>
        <v>611</v>
      </c>
      <c r="L612" s="19"/>
      <c r="M612" s="20"/>
    </row>
    <row r="613" s="17" customFormat="1" ht="21" customHeight="1" spans="1:13">
      <c r="A613" s="116">
        <f t="shared" si="19"/>
        <v>612</v>
      </c>
      <c r="B613" s="121" t="s">
        <v>716</v>
      </c>
      <c r="C613" s="19" t="s">
        <v>322</v>
      </c>
      <c r="D613" s="19" t="s">
        <v>18</v>
      </c>
      <c r="E613" s="126" t="s">
        <v>163</v>
      </c>
      <c r="F613" s="19" t="s">
        <v>16</v>
      </c>
      <c r="G613" s="118"/>
      <c r="H613" s="19"/>
      <c r="I613" s="118" t="s">
        <v>20</v>
      </c>
      <c r="J613" s="58">
        <v>42051</v>
      </c>
      <c r="K613" s="116">
        <f t="shared" si="18"/>
        <v>612</v>
      </c>
      <c r="L613" s="19"/>
      <c r="M613" s="20"/>
    </row>
    <row r="614" s="17" customFormat="1" ht="21" customHeight="1" spans="1:13">
      <c r="A614" s="116">
        <f t="shared" si="19"/>
        <v>613</v>
      </c>
      <c r="B614" s="121" t="s">
        <v>717</v>
      </c>
      <c r="C614" s="19" t="s">
        <v>322</v>
      </c>
      <c r="D614" s="19" t="s">
        <v>18</v>
      </c>
      <c r="E614" s="126" t="s">
        <v>686</v>
      </c>
      <c r="F614" s="19" t="s">
        <v>16</v>
      </c>
      <c r="G614" s="118"/>
      <c r="H614" s="19"/>
      <c r="I614" s="118" t="s">
        <v>20</v>
      </c>
      <c r="J614" s="58">
        <v>42051</v>
      </c>
      <c r="K614" s="116">
        <f t="shared" si="18"/>
        <v>613</v>
      </c>
      <c r="L614" s="19"/>
      <c r="M614" s="20"/>
    </row>
    <row r="615" s="17" customFormat="1" ht="21" customHeight="1" spans="1:13">
      <c r="A615" s="116">
        <f t="shared" si="19"/>
        <v>614</v>
      </c>
      <c r="B615" s="120">
        <v>1767100</v>
      </c>
      <c r="C615" s="19" t="s">
        <v>322</v>
      </c>
      <c r="D615" s="19" t="s">
        <v>18</v>
      </c>
      <c r="E615" s="126" t="s">
        <v>673</v>
      </c>
      <c r="F615" s="19" t="s">
        <v>92</v>
      </c>
      <c r="G615" s="118" t="s">
        <v>181</v>
      </c>
      <c r="H615" s="19"/>
      <c r="I615" s="118" t="s">
        <v>17</v>
      </c>
      <c r="J615" s="58">
        <v>42051</v>
      </c>
      <c r="K615" s="116">
        <f t="shared" si="18"/>
        <v>614</v>
      </c>
      <c r="L615" s="19"/>
      <c r="M615" s="20"/>
    </row>
    <row r="616" s="17" customFormat="1" ht="21" customHeight="1" spans="1:13">
      <c r="A616" s="116">
        <f t="shared" si="19"/>
        <v>615</v>
      </c>
      <c r="B616" s="121" t="s">
        <v>718</v>
      </c>
      <c r="C616" s="19" t="s">
        <v>322</v>
      </c>
      <c r="D616" s="19" t="s">
        <v>18</v>
      </c>
      <c r="E616" s="126" t="s">
        <v>686</v>
      </c>
      <c r="F616" s="19" t="s">
        <v>16</v>
      </c>
      <c r="G616" s="118"/>
      <c r="H616" s="19"/>
      <c r="I616" s="118" t="s">
        <v>20</v>
      </c>
      <c r="J616" s="58">
        <v>42051</v>
      </c>
      <c r="K616" s="116">
        <f t="shared" si="18"/>
        <v>615</v>
      </c>
      <c r="L616" s="19"/>
      <c r="M616" s="20"/>
    </row>
    <row r="617" s="17" customFormat="1" ht="21" customHeight="1" spans="1:13">
      <c r="A617" s="116">
        <f t="shared" si="19"/>
        <v>616</v>
      </c>
      <c r="B617" s="121" t="s">
        <v>719</v>
      </c>
      <c r="C617" s="19" t="s">
        <v>322</v>
      </c>
      <c r="D617" s="19" t="s">
        <v>18</v>
      </c>
      <c r="E617" s="126" t="s">
        <v>673</v>
      </c>
      <c r="F617" s="19" t="s">
        <v>92</v>
      </c>
      <c r="G617" s="118" t="s">
        <v>181</v>
      </c>
      <c r="H617" s="19"/>
      <c r="I617" s="118" t="s">
        <v>17</v>
      </c>
      <c r="J617" s="58">
        <v>42051</v>
      </c>
      <c r="K617" s="116">
        <f t="shared" si="18"/>
        <v>616</v>
      </c>
      <c r="L617" s="19"/>
      <c r="M617" s="20"/>
    </row>
    <row r="618" s="17" customFormat="1" ht="21" customHeight="1" spans="1:13">
      <c r="A618" s="116">
        <f t="shared" si="19"/>
        <v>617</v>
      </c>
      <c r="B618" s="121" t="s">
        <v>684</v>
      </c>
      <c r="C618" s="19" t="s">
        <v>322</v>
      </c>
      <c r="D618" s="19" t="s">
        <v>18</v>
      </c>
      <c r="E618" s="126" t="s">
        <v>686</v>
      </c>
      <c r="F618" s="19" t="s">
        <v>16</v>
      </c>
      <c r="G618" s="118"/>
      <c r="H618" s="19"/>
      <c r="I618" s="118" t="s">
        <v>20</v>
      </c>
      <c r="J618" s="58">
        <v>42051</v>
      </c>
      <c r="K618" s="116">
        <f t="shared" si="18"/>
        <v>617</v>
      </c>
      <c r="L618" s="19"/>
      <c r="M618" s="20"/>
    </row>
    <row r="619" s="17" customFormat="1" ht="21" customHeight="1" spans="1:13">
      <c r="A619" s="116">
        <f t="shared" si="19"/>
        <v>618</v>
      </c>
      <c r="B619" s="120">
        <v>1770000</v>
      </c>
      <c r="C619" s="19" t="s">
        <v>322</v>
      </c>
      <c r="D619" s="19" t="s">
        <v>18</v>
      </c>
      <c r="E619" s="126" t="s">
        <v>673</v>
      </c>
      <c r="F619" s="19" t="s">
        <v>92</v>
      </c>
      <c r="G619" s="118" t="s">
        <v>181</v>
      </c>
      <c r="H619" s="19"/>
      <c r="I619" s="118" t="s">
        <v>17</v>
      </c>
      <c r="J619" s="58">
        <v>42051</v>
      </c>
      <c r="K619" s="116">
        <f t="shared" si="18"/>
        <v>618</v>
      </c>
      <c r="L619" s="19"/>
      <c r="M619" s="20"/>
    </row>
    <row r="620" s="17" customFormat="1" ht="21" customHeight="1" spans="1:13">
      <c r="A620" s="116">
        <f t="shared" si="19"/>
        <v>619</v>
      </c>
      <c r="B620" s="121" t="s">
        <v>720</v>
      </c>
      <c r="C620" s="19" t="s">
        <v>322</v>
      </c>
      <c r="D620" s="19" t="s">
        <v>18</v>
      </c>
      <c r="E620" s="126" t="s">
        <v>721</v>
      </c>
      <c r="F620" s="19" t="s">
        <v>16</v>
      </c>
      <c r="G620" s="118"/>
      <c r="H620" s="19"/>
      <c r="I620" s="118" t="s">
        <v>20</v>
      </c>
      <c r="J620" s="58">
        <v>42051</v>
      </c>
      <c r="K620" s="116">
        <f t="shared" si="18"/>
        <v>619</v>
      </c>
      <c r="L620" s="19"/>
      <c r="M620" s="20"/>
    </row>
    <row r="621" s="17" customFormat="1" ht="21" customHeight="1" spans="1:13">
      <c r="A621" s="116">
        <f t="shared" si="19"/>
        <v>620</v>
      </c>
      <c r="B621" s="121" t="s">
        <v>722</v>
      </c>
      <c r="C621" s="19" t="s">
        <v>322</v>
      </c>
      <c r="D621" s="19" t="s">
        <v>18</v>
      </c>
      <c r="E621" s="126" t="s">
        <v>704</v>
      </c>
      <c r="F621" s="19" t="s">
        <v>16</v>
      </c>
      <c r="G621" s="118"/>
      <c r="H621" s="19"/>
      <c r="I621" s="118" t="s">
        <v>38</v>
      </c>
      <c r="J621" s="58">
        <v>42051</v>
      </c>
      <c r="K621" s="116">
        <f t="shared" si="18"/>
        <v>620</v>
      </c>
      <c r="L621" s="19"/>
      <c r="M621" s="20"/>
    </row>
    <row r="622" s="17" customFormat="1" ht="21" customHeight="1" spans="1:13">
      <c r="A622" s="116">
        <f t="shared" si="19"/>
        <v>621</v>
      </c>
      <c r="B622" s="121" t="s">
        <v>723</v>
      </c>
      <c r="C622" s="19" t="s">
        <v>322</v>
      </c>
      <c r="D622" s="19" t="s">
        <v>18</v>
      </c>
      <c r="E622" s="126" t="s">
        <v>724</v>
      </c>
      <c r="F622" s="19" t="s">
        <v>16</v>
      </c>
      <c r="G622" s="118"/>
      <c r="H622" s="19"/>
      <c r="I622" s="118" t="s">
        <v>38</v>
      </c>
      <c r="J622" s="58">
        <v>42051</v>
      </c>
      <c r="K622" s="116">
        <f t="shared" si="18"/>
        <v>621</v>
      </c>
      <c r="L622" s="19"/>
      <c r="M622" s="20"/>
    </row>
    <row r="623" s="17" customFormat="1" ht="21" customHeight="1" spans="1:13">
      <c r="A623" s="116">
        <f t="shared" si="19"/>
        <v>622</v>
      </c>
      <c r="B623" s="121" t="s">
        <v>725</v>
      </c>
      <c r="C623" s="19" t="s">
        <v>322</v>
      </c>
      <c r="D623" s="19" t="s">
        <v>18</v>
      </c>
      <c r="E623" s="126" t="s">
        <v>726</v>
      </c>
      <c r="F623" s="19" t="s">
        <v>16</v>
      </c>
      <c r="G623" s="118"/>
      <c r="H623" s="19"/>
      <c r="I623" s="118" t="s">
        <v>38</v>
      </c>
      <c r="J623" s="58">
        <v>42051</v>
      </c>
      <c r="K623" s="116">
        <f t="shared" si="18"/>
        <v>622</v>
      </c>
      <c r="L623" s="19"/>
      <c r="M623" s="20"/>
    </row>
    <row r="624" s="17" customFormat="1" ht="21" customHeight="1" spans="1:13">
      <c r="A624" s="116">
        <f t="shared" si="19"/>
        <v>623</v>
      </c>
      <c r="B624" s="121" t="s">
        <v>727</v>
      </c>
      <c r="C624" s="19" t="s">
        <v>322</v>
      </c>
      <c r="D624" s="19" t="s">
        <v>82</v>
      </c>
      <c r="E624" s="126" t="s">
        <v>109</v>
      </c>
      <c r="F624" s="19" t="s">
        <v>65</v>
      </c>
      <c r="G624" s="118" t="s">
        <v>32</v>
      </c>
      <c r="H624" s="19"/>
      <c r="I624" s="118" t="s">
        <v>17</v>
      </c>
      <c r="J624" s="58">
        <v>42051</v>
      </c>
      <c r="K624" s="116">
        <f t="shared" si="18"/>
        <v>623</v>
      </c>
      <c r="L624" s="19"/>
      <c r="M624" s="20"/>
    </row>
    <row r="625" s="17" customFormat="1" ht="21" customHeight="1" spans="1:13">
      <c r="A625" s="116">
        <f t="shared" si="19"/>
        <v>624</v>
      </c>
      <c r="B625" s="121" t="s">
        <v>728</v>
      </c>
      <c r="C625" s="19" t="s">
        <v>322</v>
      </c>
      <c r="D625" s="19" t="s">
        <v>82</v>
      </c>
      <c r="E625" s="126" t="s">
        <v>111</v>
      </c>
      <c r="F625" s="19" t="s">
        <v>65</v>
      </c>
      <c r="G625" s="118" t="s">
        <v>112</v>
      </c>
      <c r="H625" s="19"/>
      <c r="I625" s="118" t="s">
        <v>17</v>
      </c>
      <c r="J625" s="58">
        <v>42051</v>
      </c>
      <c r="K625" s="116">
        <f t="shared" si="18"/>
        <v>624</v>
      </c>
      <c r="L625" s="19"/>
      <c r="M625" s="20"/>
    </row>
    <row r="626" s="17" customFormat="1" ht="21" customHeight="1" spans="1:13">
      <c r="A626" s="116">
        <f t="shared" si="19"/>
        <v>625</v>
      </c>
      <c r="B626" s="121" t="s">
        <v>729</v>
      </c>
      <c r="C626" s="19" t="s">
        <v>322</v>
      </c>
      <c r="D626" s="19" t="s">
        <v>82</v>
      </c>
      <c r="E626" s="126" t="s">
        <v>114</v>
      </c>
      <c r="F626" s="19" t="s">
        <v>65</v>
      </c>
      <c r="G626" s="118" t="s">
        <v>112</v>
      </c>
      <c r="H626" s="19"/>
      <c r="I626" s="118" t="s">
        <v>17</v>
      </c>
      <c r="J626" s="58">
        <v>42051</v>
      </c>
      <c r="K626" s="116">
        <f t="shared" si="18"/>
        <v>625</v>
      </c>
      <c r="L626" s="19"/>
      <c r="M626" s="20"/>
    </row>
    <row r="627" s="17" customFormat="1" ht="21" customHeight="1" spans="1:13">
      <c r="A627" s="116">
        <f t="shared" si="19"/>
        <v>626</v>
      </c>
      <c r="B627" s="121" t="s">
        <v>730</v>
      </c>
      <c r="C627" s="19" t="s">
        <v>322</v>
      </c>
      <c r="D627" s="19" t="s">
        <v>18</v>
      </c>
      <c r="E627" s="126" t="s">
        <v>731</v>
      </c>
      <c r="F627" s="19" t="s">
        <v>16</v>
      </c>
      <c r="G627" s="118"/>
      <c r="H627" s="19"/>
      <c r="I627" s="118" t="s">
        <v>304</v>
      </c>
      <c r="J627" s="58">
        <v>42051</v>
      </c>
      <c r="K627" s="116">
        <f t="shared" si="18"/>
        <v>626</v>
      </c>
      <c r="L627" s="19"/>
      <c r="M627" s="20"/>
    </row>
    <row r="628" s="17" customFormat="1" ht="21" customHeight="1" spans="1:13">
      <c r="A628" s="116">
        <f t="shared" si="19"/>
        <v>627</v>
      </c>
      <c r="B628" s="121" t="s">
        <v>699</v>
      </c>
      <c r="C628" s="19" t="s">
        <v>322</v>
      </c>
      <c r="D628" s="19" t="s">
        <v>18</v>
      </c>
      <c r="E628" s="126" t="s">
        <v>679</v>
      </c>
      <c r="F628" s="19" t="s">
        <v>16</v>
      </c>
      <c r="G628" s="118"/>
      <c r="H628" s="19"/>
      <c r="I628" s="118" t="s">
        <v>38</v>
      </c>
      <c r="J628" s="58">
        <v>42051</v>
      </c>
      <c r="K628" s="116">
        <f t="shared" si="18"/>
        <v>627</v>
      </c>
      <c r="L628" s="19"/>
      <c r="M628" s="20"/>
    </row>
    <row r="629" s="17" customFormat="1" ht="21" customHeight="1" spans="1:13">
      <c r="A629" s="116">
        <f t="shared" si="19"/>
        <v>628</v>
      </c>
      <c r="B629" s="121" t="s">
        <v>732</v>
      </c>
      <c r="C629" s="19" t="s">
        <v>322</v>
      </c>
      <c r="D629" s="19" t="s">
        <v>18</v>
      </c>
      <c r="E629" s="126" t="s">
        <v>673</v>
      </c>
      <c r="F629" s="19" t="s">
        <v>92</v>
      </c>
      <c r="G629" s="118" t="s">
        <v>181</v>
      </c>
      <c r="H629" s="19"/>
      <c r="I629" s="118" t="s">
        <v>17</v>
      </c>
      <c r="J629" s="58">
        <v>42051</v>
      </c>
      <c r="K629" s="116">
        <f t="shared" si="18"/>
        <v>628</v>
      </c>
      <c r="L629" s="19"/>
      <c r="M629" s="20"/>
    </row>
    <row r="630" s="17" customFormat="1" ht="21" customHeight="1" spans="1:13">
      <c r="A630" s="116">
        <f t="shared" si="19"/>
        <v>629</v>
      </c>
      <c r="B630" s="121" t="s">
        <v>733</v>
      </c>
      <c r="C630" s="19" t="s">
        <v>322</v>
      </c>
      <c r="D630" s="19" t="s">
        <v>18</v>
      </c>
      <c r="E630" s="126" t="s">
        <v>673</v>
      </c>
      <c r="F630" s="19" t="s">
        <v>92</v>
      </c>
      <c r="G630" s="118" t="s">
        <v>181</v>
      </c>
      <c r="H630" s="19"/>
      <c r="I630" s="118" t="s">
        <v>17</v>
      </c>
      <c r="J630" s="58">
        <v>42051</v>
      </c>
      <c r="K630" s="116">
        <f t="shared" si="18"/>
        <v>629</v>
      </c>
      <c r="L630" s="19"/>
      <c r="M630" s="20"/>
    </row>
    <row r="631" s="17" customFormat="1" ht="21" customHeight="1" spans="1:13">
      <c r="A631" s="116">
        <f t="shared" si="19"/>
        <v>630</v>
      </c>
      <c r="B631" s="121" t="s">
        <v>734</v>
      </c>
      <c r="C631" s="19" t="s">
        <v>322</v>
      </c>
      <c r="D631" s="19" t="s">
        <v>18</v>
      </c>
      <c r="E631" s="126" t="s">
        <v>735</v>
      </c>
      <c r="F631" s="19" t="s">
        <v>16</v>
      </c>
      <c r="G631" s="118"/>
      <c r="H631" s="19"/>
      <c r="I631" s="118" t="s">
        <v>38</v>
      </c>
      <c r="J631" s="58">
        <v>42051</v>
      </c>
      <c r="K631" s="116">
        <f t="shared" si="18"/>
        <v>630</v>
      </c>
      <c r="L631" s="19"/>
      <c r="M631" s="20"/>
    </row>
    <row r="632" s="17" customFormat="1" ht="21" customHeight="1" spans="1:13">
      <c r="A632" s="116">
        <f t="shared" si="19"/>
        <v>631</v>
      </c>
      <c r="B632" s="121" t="s">
        <v>736</v>
      </c>
      <c r="C632" s="19" t="s">
        <v>322</v>
      </c>
      <c r="D632" s="19" t="s">
        <v>18</v>
      </c>
      <c r="E632" s="126" t="s">
        <v>737</v>
      </c>
      <c r="F632" s="19" t="s">
        <v>16</v>
      </c>
      <c r="G632" s="118"/>
      <c r="H632" s="19"/>
      <c r="I632" s="118" t="s">
        <v>38</v>
      </c>
      <c r="J632" s="58">
        <v>42051</v>
      </c>
      <c r="K632" s="116">
        <f t="shared" si="18"/>
        <v>631</v>
      </c>
      <c r="L632" s="19"/>
      <c r="M632" s="20"/>
    </row>
    <row r="633" s="17" customFormat="1" ht="21" customHeight="1" spans="1:13">
      <c r="A633" s="116">
        <f t="shared" si="19"/>
        <v>632</v>
      </c>
      <c r="B633" s="121" t="s">
        <v>738</v>
      </c>
      <c r="C633" s="19" t="s">
        <v>322</v>
      </c>
      <c r="D633" s="19" t="s">
        <v>82</v>
      </c>
      <c r="E633" s="126" t="s">
        <v>711</v>
      </c>
      <c r="F633" s="19" t="s">
        <v>65</v>
      </c>
      <c r="G633" s="118" t="s">
        <v>58</v>
      </c>
      <c r="H633" s="19"/>
      <c r="I633" s="118" t="s">
        <v>17</v>
      </c>
      <c r="J633" s="58">
        <v>42051</v>
      </c>
      <c r="K633" s="116">
        <f t="shared" si="18"/>
        <v>632</v>
      </c>
      <c r="L633" s="19"/>
      <c r="M633" s="20"/>
    </row>
    <row r="634" s="17" customFormat="1" ht="21" customHeight="1" spans="1:13">
      <c r="A634" s="116">
        <f t="shared" si="19"/>
        <v>633</v>
      </c>
      <c r="B634" s="121" t="s">
        <v>739</v>
      </c>
      <c r="C634" s="19" t="s">
        <v>322</v>
      </c>
      <c r="D634" s="19" t="s">
        <v>18</v>
      </c>
      <c r="E634" s="126" t="s">
        <v>740</v>
      </c>
      <c r="F634" s="19" t="s">
        <v>16</v>
      </c>
      <c r="G634" s="118"/>
      <c r="H634" s="19"/>
      <c r="I634" s="118" t="s">
        <v>38</v>
      </c>
      <c r="J634" s="58">
        <v>42051</v>
      </c>
      <c r="K634" s="116">
        <f t="shared" ref="K634:K638" si="20">A634</f>
        <v>633</v>
      </c>
      <c r="L634" s="19"/>
      <c r="M634" s="20"/>
    </row>
    <row r="635" s="17" customFormat="1" ht="21" customHeight="1" spans="1:13">
      <c r="A635" s="116">
        <f t="shared" si="19"/>
        <v>634</v>
      </c>
      <c r="B635" s="119">
        <v>1776910</v>
      </c>
      <c r="C635" s="19" t="s">
        <v>322</v>
      </c>
      <c r="D635" s="19" t="s">
        <v>82</v>
      </c>
      <c r="E635" s="131" t="s">
        <v>111</v>
      </c>
      <c r="F635" s="19" t="s">
        <v>65</v>
      </c>
      <c r="G635" s="118" t="s">
        <v>112</v>
      </c>
      <c r="H635" s="19"/>
      <c r="I635" s="118" t="s">
        <v>17</v>
      </c>
      <c r="J635" s="58">
        <v>42051</v>
      </c>
      <c r="K635" s="116">
        <f t="shared" si="20"/>
        <v>634</v>
      </c>
      <c r="L635" s="19"/>
      <c r="M635" s="20"/>
    </row>
    <row r="636" s="17" customFormat="1" ht="21" customHeight="1" spans="1:13">
      <c r="A636" s="116">
        <f t="shared" si="19"/>
        <v>635</v>
      </c>
      <c r="B636" s="119">
        <v>1776920</v>
      </c>
      <c r="C636" s="19" t="s">
        <v>322</v>
      </c>
      <c r="D636" s="19" t="s">
        <v>82</v>
      </c>
      <c r="E636" s="131" t="s">
        <v>114</v>
      </c>
      <c r="F636" s="19" t="s">
        <v>65</v>
      </c>
      <c r="G636" s="118" t="s">
        <v>112</v>
      </c>
      <c r="H636" s="19"/>
      <c r="I636" s="118" t="s">
        <v>17</v>
      </c>
      <c r="J636" s="58">
        <v>42051</v>
      </c>
      <c r="K636" s="116">
        <f t="shared" si="20"/>
        <v>635</v>
      </c>
      <c r="L636" s="19"/>
      <c r="M636" s="20"/>
    </row>
    <row r="637" ht="21" customHeight="1" spans="1:13">
      <c r="A637" s="116">
        <f t="shared" si="19"/>
        <v>636</v>
      </c>
      <c r="B637" s="119">
        <v>1776930</v>
      </c>
      <c r="C637" s="19" t="s">
        <v>322</v>
      </c>
      <c r="D637" s="19" t="s">
        <v>18</v>
      </c>
      <c r="E637" s="131" t="s">
        <v>184</v>
      </c>
      <c r="F637" s="19" t="s">
        <v>16</v>
      </c>
      <c r="G637" s="118"/>
      <c r="H637" s="19"/>
      <c r="I637" s="118" t="s">
        <v>20</v>
      </c>
      <c r="J637" s="58">
        <v>42051</v>
      </c>
      <c r="K637" s="116">
        <f t="shared" si="20"/>
        <v>636</v>
      </c>
      <c r="L637" s="19"/>
      <c r="M637" s="20"/>
    </row>
    <row r="638" ht="21" customHeight="1" spans="1:13">
      <c r="A638" s="116">
        <f t="shared" si="19"/>
        <v>637</v>
      </c>
      <c r="B638" s="119">
        <v>1776950</v>
      </c>
      <c r="C638" s="19" t="s">
        <v>322</v>
      </c>
      <c r="D638" s="19" t="s">
        <v>18</v>
      </c>
      <c r="E638" s="124" t="s">
        <v>673</v>
      </c>
      <c r="F638" s="19" t="s">
        <v>92</v>
      </c>
      <c r="G638" s="118" t="s">
        <v>181</v>
      </c>
      <c r="H638" s="19"/>
      <c r="I638" s="118" t="s">
        <v>17</v>
      </c>
      <c r="J638" s="58">
        <v>42051</v>
      </c>
      <c r="K638" s="116">
        <f t="shared" si="20"/>
        <v>637</v>
      </c>
      <c r="L638" s="19"/>
      <c r="M638" s="20"/>
    </row>
    <row r="641" spans="5:9">
      <c r="E641" s="132"/>
      <c r="F641" s="133"/>
      <c r="G641" s="133"/>
      <c r="H641" s="129"/>
      <c r="I641" s="133"/>
    </row>
    <row r="642" spans="5:9">
      <c r="E642" s="134"/>
      <c r="F642" s="134"/>
      <c r="G642" s="134"/>
      <c r="H642" s="134"/>
      <c r="I642" s="134"/>
    </row>
  </sheetData>
  <autoFilter xmlns:etc="http://www.wps.cn/officeDocument/2017/etCustomData" ref="A1:P638" etc:filterBottomFollowUsedRange="0">
    <extLst/>
  </autoFilter>
  <pageMargins left="0.35" right="0.34" top="0.57" bottom="0.52" header="0.17" footer="0.31496062992126"/>
  <pageSetup paperSize="9" scale="86" orientation="landscape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3"/>
  <sheetViews>
    <sheetView tabSelected="1" workbookViewId="0">
      <selection activeCell="A2" sqref="A2:A541"/>
    </sheetView>
  </sheetViews>
  <sheetFormatPr defaultColWidth="9" defaultRowHeight="14"/>
  <cols>
    <col min="1" max="1" width="4.27272727272727" customWidth="1"/>
    <col min="2" max="2" width="21.9090909090909" style="81" customWidth="1"/>
    <col min="3" max="3" width="10.1272727272727" customWidth="1"/>
    <col min="4" max="4" width="12.3727272727273" customWidth="1"/>
    <col min="5" max="5" width="7.12727272727273" customWidth="1"/>
    <col min="6" max="6" width="12" customWidth="1"/>
    <col min="7" max="7" width="11.3727272727273" customWidth="1"/>
    <col min="8" max="8" width="16.1272727272727" customWidth="1"/>
    <col min="9" max="9" width="7.75454545454545" customWidth="1"/>
    <col min="10" max="10" width="13.1272727272727" customWidth="1"/>
    <col min="11" max="11" width="25.2545454545455" customWidth="1"/>
    <col min="12" max="13" width="12.2545454545455" customWidth="1"/>
  </cols>
  <sheetData>
    <row r="1" ht="38.25" customHeight="1" spans="1:11">
      <c r="A1" s="82" t="s">
        <v>0</v>
      </c>
      <c r="B1" s="83" t="s">
        <v>741</v>
      </c>
      <c r="C1" s="83" t="s">
        <v>2</v>
      </c>
      <c r="D1" s="83" t="s">
        <v>742</v>
      </c>
      <c r="E1" s="83" t="s">
        <v>743</v>
      </c>
      <c r="F1" s="83" t="s">
        <v>744</v>
      </c>
      <c r="G1" s="83" t="s">
        <v>745</v>
      </c>
      <c r="H1" s="83" t="s">
        <v>746</v>
      </c>
      <c r="I1" s="83" t="s">
        <v>747</v>
      </c>
      <c r="J1" s="83" t="s">
        <v>9</v>
      </c>
      <c r="K1" s="83" t="s">
        <v>748</v>
      </c>
    </row>
    <row r="2" ht="38.25" customHeight="1" spans="1:11">
      <c r="A2" s="82">
        <f>ROW(B2)-1</f>
        <v>1</v>
      </c>
      <c r="B2" s="84" t="s">
        <v>749</v>
      </c>
      <c r="C2" s="83" t="s">
        <v>13</v>
      </c>
      <c r="D2" s="83" t="s">
        <v>750</v>
      </c>
      <c r="E2" s="83" t="s">
        <v>751</v>
      </c>
      <c r="F2" s="83" t="s">
        <v>752</v>
      </c>
      <c r="G2" s="83">
        <v>120</v>
      </c>
      <c r="H2" s="83" t="s">
        <v>753</v>
      </c>
      <c r="I2" s="85">
        <v>150</v>
      </c>
      <c r="J2" s="86">
        <v>37941</v>
      </c>
      <c r="K2" s="83"/>
    </row>
    <row r="3" ht="38.25" customHeight="1" spans="1:11">
      <c r="A3" s="82">
        <f>ROW(B3)-1</f>
        <v>2</v>
      </c>
      <c r="B3" s="84" t="s">
        <v>754</v>
      </c>
      <c r="C3" s="83" t="s">
        <v>13</v>
      </c>
      <c r="D3" s="83" t="s">
        <v>750</v>
      </c>
      <c r="E3" s="83" t="s">
        <v>751</v>
      </c>
      <c r="F3" s="83" t="s">
        <v>752</v>
      </c>
      <c r="G3" s="83">
        <v>120</v>
      </c>
      <c r="H3" s="83" t="s">
        <v>753</v>
      </c>
      <c r="I3" s="85">
        <v>90</v>
      </c>
      <c r="J3" s="86">
        <v>37941</v>
      </c>
      <c r="K3" s="83"/>
    </row>
    <row r="4" ht="38.25" customHeight="1" spans="1:11">
      <c r="A4" s="82">
        <f t="shared" ref="A4:A67" si="0">ROW(B4)-1</f>
        <v>3</v>
      </c>
      <c r="B4" s="84" t="s">
        <v>755</v>
      </c>
      <c r="C4" s="83" t="s">
        <v>13</v>
      </c>
      <c r="D4" s="83" t="s">
        <v>750</v>
      </c>
      <c r="E4" s="83" t="s">
        <v>751</v>
      </c>
      <c r="F4" s="83" t="s">
        <v>752</v>
      </c>
      <c r="G4" s="83">
        <v>120</v>
      </c>
      <c r="H4" s="83" t="s">
        <v>753</v>
      </c>
      <c r="I4" s="85">
        <v>90</v>
      </c>
      <c r="J4" s="86">
        <v>37941</v>
      </c>
      <c r="K4" s="83"/>
    </row>
    <row r="5" ht="38.25" customHeight="1" spans="1:11">
      <c r="A5" s="82">
        <f t="shared" si="0"/>
        <v>4</v>
      </c>
      <c r="B5" s="84" t="s">
        <v>756</v>
      </c>
      <c r="C5" s="83" t="s">
        <v>13</v>
      </c>
      <c r="D5" s="83" t="s">
        <v>750</v>
      </c>
      <c r="E5" s="83" t="s">
        <v>751</v>
      </c>
      <c r="F5" s="83" t="s">
        <v>752</v>
      </c>
      <c r="G5" s="83">
        <v>120</v>
      </c>
      <c r="H5" s="83" t="s">
        <v>753</v>
      </c>
      <c r="I5" s="85">
        <v>570</v>
      </c>
      <c r="J5" s="86">
        <v>37941</v>
      </c>
      <c r="K5" s="83"/>
    </row>
    <row r="6" ht="38.25" customHeight="1" spans="1:11">
      <c r="A6" s="82">
        <f t="shared" si="0"/>
        <v>5</v>
      </c>
      <c r="B6" s="84" t="s">
        <v>757</v>
      </c>
      <c r="C6" s="83" t="s">
        <v>13</v>
      </c>
      <c r="D6" s="83" t="s">
        <v>750</v>
      </c>
      <c r="E6" s="83" t="s">
        <v>751</v>
      </c>
      <c r="F6" s="83" t="s">
        <v>752</v>
      </c>
      <c r="G6" s="83">
        <v>120</v>
      </c>
      <c r="H6" s="83" t="s">
        <v>753</v>
      </c>
      <c r="I6" s="85">
        <v>270</v>
      </c>
      <c r="J6" s="86">
        <v>37941</v>
      </c>
      <c r="K6" s="83"/>
    </row>
    <row r="7" ht="38.25" customHeight="1" spans="1:11">
      <c r="A7" s="82">
        <f t="shared" si="0"/>
        <v>6</v>
      </c>
      <c r="B7" s="84" t="s">
        <v>758</v>
      </c>
      <c r="C7" s="83" t="s">
        <v>13</v>
      </c>
      <c r="D7" s="83" t="s">
        <v>750</v>
      </c>
      <c r="E7" s="83" t="s">
        <v>751</v>
      </c>
      <c r="F7" s="83" t="s">
        <v>752</v>
      </c>
      <c r="G7" s="83">
        <v>120</v>
      </c>
      <c r="H7" s="83" t="s">
        <v>753</v>
      </c>
      <c r="I7" s="85">
        <v>225</v>
      </c>
      <c r="J7" s="86">
        <v>37941</v>
      </c>
      <c r="K7" s="83"/>
    </row>
    <row r="8" ht="38.25" customHeight="1" spans="1:11">
      <c r="A8" s="82">
        <f t="shared" si="0"/>
        <v>7</v>
      </c>
      <c r="B8" s="84" t="s">
        <v>759</v>
      </c>
      <c r="C8" s="83" t="s">
        <v>13</v>
      </c>
      <c r="D8" s="83" t="s">
        <v>750</v>
      </c>
      <c r="E8" s="83" t="s">
        <v>751</v>
      </c>
      <c r="F8" s="83" t="s">
        <v>752</v>
      </c>
      <c r="G8" s="83">
        <v>120</v>
      </c>
      <c r="H8" s="83" t="s">
        <v>753</v>
      </c>
      <c r="I8" s="85">
        <v>195</v>
      </c>
      <c r="J8" s="86">
        <v>37941</v>
      </c>
      <c r="K8" s="83"/>
    </row>
    <row r="9" ht="38.25" customHeight="1" spans="1:11">
      <c r="A9" s="82">
        <f t="shared" si="0"/>
        <v>8</v>
      </c>
      <c r="B9" s="84" t="s">
        <v>760</v>
      </c>
      <c r="C9" s="83" t="s">
        <v>13</v>
      </c>
      <c r="D9" s="83" t="s">
        <v>750</v>
      </c>
      <c r="E9" s="83" t="s">
        <v>751</v>
      </c>
      <c r="F9" s="83" t="s">
        <v>752</v>
      </c>
      <c r="G9" s="83">
        <v>120</v>
      </c>
      <c r="H9" s="83" t="s">
        <v>753</v>
      </c>
      <c r="I9" s="85">
        <v>75</v>
      </c>
      <c r="J9" s="86">
        <v>37941</v>
      </c>
      <c r="K9" s="83"/>
    </row>
    <row r="10" ht="32.25" customHeight="1" spans="1:11">
      <c r="A10" s="82">
        <f t="shared" si="0"/>
        <v>9</v>
      </c>
      <c r="B10" s="83" t="s">
        <v>761</v>
      </c>
      <c r="C10" s="83" t="s">
        <v>13</v>
      </c>
      <c r="D10" s="83" t="s">
        <v>750</v>
      </c>
      <c r="E10" s="83" t="s">
        <v>751</v>
      </c>
      <c r="F10" s="83" t="s">
        <v>752</v>
      </c>
      <c r="G10" s="83">
        <v>120</v>
      </c>
      <c r="H10" s="83" t="s">
        <v>753</v>
      </c>
      <c r="I10" s="83">
        <v>1400</v>
      </c>
      <c r="J10" s="86">
        <v>44365</v>
      </c>
      <c r="K10" s="83"/>
    </row>
    <row r="11" ht="32.25" customHeight="1" spans="1:11">
      <c r="A11" s="82">
        <f t="shared" si="0"/>
        <v>10</v>
      </c>
      <c r="B11" s="83" t="s">
        <v>762</v>
      </c>
      <c r="C11" s="83" t="s">
        <v>13</v>
      </c>
      <c r="D11" s="83" t="s">
        <v>750</v>
      </c>
      <c r="E11" s="83" t="s">
        <v>751</v>
      </c>
      <c r="F11" s="83" t="s">
        <v>752</v>
      </c>
      <c r="G11" s="83">
        <v>120</v>
      </c>
      <c r="H11" s="83" t="s">
        <v>753</v>
      </c>
      <c r="I11" s="83">
        <f>30*15</f>
        <v>450</v>
      </c>
      <c r="J11" s="86">
        <v>37963</v>
      </c>
      <c r="K11" s="83"/>
    </row>
    <row r="12" ht="32.25" customHeight="1" spans="1:11">
      <c r="A12" s="82">
        <f t="shared" si="0"/>
        <v>11</v>
      </c>
      <c r="B12" s="83" t="s">
        <v>763</v>
      </c>
      <c r="C12" s="83" t="s">
        <v>13</v>
      </c>
      <c r="D12" s="83" t="s">
        <v>750</v>
      </c>
      <c r="E12" s="83" t="s">
        <v>751</v>
      </c>
      <c r="F12" s="83" t="s">
        <v>752</v>
      </c>
      <c r="G12" s="83">
        <v>120</v>
      </c>
      <c r="H12" s="83" t="s">
        <v>753</v>
      </c>
      <c r="I12" s="83">
        <v>120</v>
      </c>
      <c r="J12" s="86">
        <v>37963</v>
      </c>
      <c r="K12" s="83"/>
    </row>
    <row r="13" ht="32.25" customHeight="1" spans="1:11">
      <c r="A13" s="82">
        <f t="shared" si="0"/>
        <v>12</v>
      </c>
      <c r="B13" s="83" t="s">
        <v>764</v>
      </c>
      <c r="C13" s="83" t="s">
        <v>13</v>
      </c>
      <c r="D13" s="83" t="s">
        <v>750</v>
      </c>
      <c r="E13" s="83" t="s">
        <v>751</v>
      </c>
      <c r="F13" s="83" t="s">
        <v>752</v>
      </c>
      <c r="G13" s="83">
        <v>120</v>
      </c>
      <c r="H13" s="83" t="s">
        <v>753</v>
      </c>
      <c r="I13" s="83">
        <f>50*15</f>
        <v>750</v>
      </c>
      <c r="J13" s="86">
        <v>37963</v>
      </c>
      <c r="K13" s="83"/>
    </row>
    <row r="14" ht="32.25" customHeight="1" spans="1:11">
      <c r="A14" s="82">
        <f t="shared" si="0"/>
        <v>13</v>
      </c>
      <c r="B14" s="83" t="s">
        <v>765</v>
      </c>
      <c r="C14" s="83" t="s">
        <v>13</v>
      </c>
      <c r="D14" s="83" t="s">
        <v>750</v>
      </c>
      <c r="E14" s="83" t="s">
        <v>751</v>
      </c>
      <c r="F14" s="83" t="s">
        <v>752</v>
      </c>
      <c r="G14" s="83">
        <v>120</v>
      </c>
      <c r="H14" s="83" t="s">
        <v>753</v>
      </c>
      <c r="I14" s="83">
        <f>18*15</f>
        <v>270</v>
      </c>
      <c r="J14" s="86">
        <v>37963</v>
      </c>
      <c r="K14" s="83"/>
    </row>
    <row r="15" ht="32.25" customHeight="1" spans="1:11">
      <c r="A15" s="82">
        <f t="shared" si="0"/>
        <v>14</v>
      </c>
      <c r="B15" s="83" t="s">
        <v>766</v>
      </c>
      <c r="C15" s="83" t="s">
        <v>13</v>
      </c>
      <c r="D15" s="83" t="s">
        <v>750</v>
      </c>
      <c r="E15" s="83" t="s">
        <v>751</v>
      </c>
      <c r="F15" s="83" t="s">
        <v>752</v>
      </c>
      <c r="G15" s="83">
        <v>120</v>
      </c>
      <c r="H15" s="83" t="s">
        <v>753</v>
      </c>
      <c r="I15" s="83">
        <f>36*15</f>
        <v>540</v>
      </c>
      <c r="J15" s="86">
        <v>37963</v>
      </c>
      <c r="K15" s="83"/>
    </row>
    <row r="16" ht="32.25" customHeight="1" spans="1:11">
      <c r="A16" s="82">
        <f t="shared" si="0"/>
        <v>15</v>
      </c>
      <c r="B16" s="83" t="s">
        <v>767</v>
      </c>
      <c r="C16" s="83" t="s">
        <v>13</v>
      </c>
      <c r="D16" s="83" t="s">
        <v>750</v>
      </c>
      <c r="E16" s="83" t="s">
        <v>751</v>
      </c>
      <c r="F16" s="83" t="s">
        <v>752</v>
      </c>
      <c r="G16" s="83">
        <v>120</v>
      </c>
      <c r="H16" s="83" t="s">
        <v>753</v>
      </c>
      <c r="I16" s="83">
        <f>12*15</f>
        <v>180</v>
      </c>
      <c r="J16" s="86">
        <v>37963</v>
      </c>
      <c r="K16" s="83"/>
    </row>
    <row r="17" ht="32.25" customHeight="1" spans="1:11">
      <c r="A17" s="82">
        <f t="shared" si="0"/>
        <v>16</v>
      </c>
      <c r="B17" s="83" t="s">
        <v>768</v>
      </c>
      <c r="C17" s="83" t="s">
        <v>13</v>
      </c>
      <c r="D17" s="83" t="s">
        <v>750</v>
      </c>
      <c r="E17" s="83" t="s">
        <v>751</v>
      </c>
      <c r="F17" s="83" t="s">
        <v>752</v>
      </c>
      <c r="G17" s="83">
        <v>120</v>
      </c>
      <c r="H17" s="83" t="s">
        <v>753</v>
      </c>
      <c r="I17" s="83">
        <f>14*15</f>
        <v>210</v>
      </c>
      <c r="J17" s="86">
        <v>37963</v>
      </c>
      <c r="K17" s="83"/>
    </row>
    <row r="18" ht="32.25" customHeight="1" spans="1:11">
      <c r="A18" s="82">
        <f t="shared" si="0"/>
        <v>17</v>
      </c>
      <c r="B18" s="83" t="s">
        <v>769</v>
      </c>
      <c r="C18" s="83" t="s">
        <v>13</v>
      </c>
      <c r="D18" s="83" t="s">
        <v>750</v>
      </c>
      <c r="E18" s="83" t="s">
        <v>751</v>
      </c>
      <c r="F18" s="83" t="s">
        <v>752</v>
      </c>
      <c r="G18" s="83">
        <v>120</v>
      </c>
      <c r="H18" s="83" t="s">
        <v>753</v>
      </c>
      <c r="I18" s="83">
        <v>360</v>
      </c>
      <c r="J18" s="86">
        <v>37963</v>
      </c>
      <c r="K18" s="83"/>
    </row>
    <row r="19" ht="32.25" customHeight="1" spans="1:11">
      <c r="A19" s="82">
        <f t="shared" si="0"/>
        <v>18</v>
      </c>
      <c r="B19" s="83" t="s">
        <v>770</v>
      </c>
      <c r="C19" s="83" t="s">
        <v>13</v>
      </c>
      <c r="D19" s="83" t="s">
        <v>750</v>
      </c>
      <c r="E19" s="83" t="s">
        <v>751</v>
      </c>
      <c r="F19" s="83" t="s">
        <v>752</v>
      </c>
      <c r="G19" s="83">
        <v>120</v>
      </c>
      <c r="H19" s="83" t="s">
        <v>753</v>
      </c>
      <c r="I19" s="83">
        <f>11*15</f>
        <v>165</v>
      </c>
      <c r="J19" s="86">
        <v>37963</v>
      </c>
      <c r="K19" s="83"/>
    </row>
    <row r="20" ht="32.25" customHeight="1" spans="1:11">
      <c r="A20" s="82">
        <f t="shared" si="0"/>
        <v>19</v>
      </c>
      <c r="B20" s="83" t="s">
        <v>771</v>
      </c>
      <c r="C20" s="83" t="s">
        <v>13</v>
      </c>
      <c r="D20" s="83" t="s">
        <v>750</v>
      </c>
      <c r="E20" s="83" t="s">
        <v>751</v>
      </c>
      <c r="F20" s="83" t="s">
        <v>752</v>
      </c>
      <c r="G20" s="83">
        <v>120</v>
      </c>
      <c r="H20" s="83" t="s">
        <v>753</v>
      </c>
      <c r="I20" s="83">
        <v>315</v>
      </c>
      <c r="J20" s="86">
        <v>37963</v>
      </c>
      <c r="K20" s="83"/>
    </row>
    <row r="21" ht="32.25" customHeight="1" spans="1:11">
      <c r="A21" s="82">
        <f t="shared" si="0"/>
        <v>20</v>
      </c>
      <c r="B21" s="83" t="s">
        <v>772</v>
      </c>
      <c r="C21" s="83" t="s">
        <v>13</v>
      </c>
      <c r="D21" s="83" t="s">
        <v>750</v>
      </c>
      <c r="E21" s="83" t="s">
        <v>751</v>
      </c>
      <c r="F21" s="83" t="s">
        <v>752</v>
      </c>
      <c r="G21" s="83">
        <v>120</v>
      </c>
      <c r="H21" s="83" t="s">
        <v>753</v>
      </c>
      <c r="I21" s="83">
        <v>75</v>
      </c>
      <c r="J21" s="86">
        <v>37963</v>
      </c>
      <c r="K21" s="83"/>
    </row>
    <row r="22" ht="32.25" customHeight="1" spans="1:11">
      <c r="A22" s="82">
        <f t="shared" si="0"/>
        <v>21</v>
      </c>
      <c r="B22" s="83" t="s">
        <v>773</v>
      </c>
      <c r="C22" s="83" t="s">
        <v>13</v>
      </c>
      <c r="D22" s="83" t="s">
        <v>750</v>
      </c>
      <c r="E22" s="83" t="s">
        <v>751</v>
      </c>
      <c r="F22" s="83" t="s">
        <v>752</v>
      </c>
      <c r="G22" s="83">
        <v>120</v>
      </c>
      <c r="H22" s="83" t="s">
        <v>753</v>
      </c>
      <c r="I22" s="83">
        <v>60</v>
      </c>
      <c r="J22" s="86">
        <v>37963</v>
      </c>
      <c r="K22" s="83"/>
    </row>
    <row r="23" ht="32.25" customHeight="1" spans="1:11">
      <c r="A23" s="82">
        <f t="shared" si="0"/>
        <v>22</v>
      </c>
      <c r="B23" s="83" t="s">
        <v>774</v>
      </c>
      <c r="C23" s="83" t="s">
        <v>13</v>
      </c>
      <c r="D23" s="83" t="s">
        <v>750</v>
      </c>
      <c r="E23" s="83" t="s">
        <v>751</v>
      </c>
      <c r="F23" s="83" t="s">
        <v>752</v>
      </c>
      <c r="G23" s="83">
        <v>120</v>
      </c>
      <c r="H23" s="83" t="s">
        <v>753</v>
      </c>
      <c r="I23" s="83">
        <v>150</v>
      </c>
      <c r="J23" s="86">
        <v>37963</v>
      </c>
      <c r="K23" s="83"/>
    </row>
    <row r="24" ht="32.25" customHeight="1" spans="1:11">
      <c r="A24" s="82">
        <f t="shared" si="0"/>
        <v>23</v>
      </c>
      <c r="B24" s="83" t="s">
        <v>775</v>
      </c>
      <c r="C24" s="83" t="s">
        <v>13</v>
      </c>
      <c r="D24" s="83" t="s">
        <v>750</v>
      </c>
      <c r="E24" s="83" t="s">
        <v>751</v>
      </c>
      <c r="F24" s="83" t="s">
        <v>752</v>
      </c>
      <c r="G24" s="83">
        <v>120</v>
      </c>
      <c r="H24" s="83" t="s">
        <v>753</v>
      </c>
      <c r="I24" s="83">
        <v>48</v>
      </c>
      <c r="J24" s="86">
        <v>37963</v>
      </c>
      <c r="K24" s="83"/>
    </row>
    <row r="25" ht="32.25" customHeight="1" spans="1:11">
      <c r="A25" s="82">
        <f t="shared" si="0"/>
        <v>24</v>
      </c>
      <c r="B25" s="83" t="s">
        <v>776</v>
      </c>
      <c r="C25" s="83" t="s">
        <v>13</v>
      </c>
      <c r="D25" s="83" t="s">
        <v>750</v>
      </c>
      <c r="E25" s="83" t="s">
        <v>751</v>
      </c>
      <c r="F25" s="83" t="s">
        <v>752</v>
      </c>
      <c r="G25" s="83">
        <v>120</v>
      </c>
      <c r="H25" s="83" t="s">
        <v>753</v>
      </c>
      <c r="I25" s="83">
        <v>116</v>
      </c>
      <c r="J25" s="86">
        <v>37963</v>
      </c>
      <c r="K25" s="83"/>
    </row>
    <row r="26" ht="32.25" customHeight="1" spans="1:11">
      <c r="A26" s="82">
        <f t="shared" si="0"/>
        <v>25</v>
      </c>
      <c r="B26" s="83" t="s">
        <v>777</v>
      </c>
      <c r="C26" s="83" t="s">
        <v>13</v>
      </c>
      <c r="D26" s="83" t="s">
        <v>750</v>
      </c>
      <c r="E26" s="83" t="s">
        <v>751</v>
      </c>
      <c r="F26" s="83" t="s">
        <v>752</v>
      </c>
      <c r="G26" s="83">
        <v>120</v>
      </c>
      <c r="H26" s="83" t="s">
        <v>753</v>
      </c>
      <c r="I26" s="83">
        <f>20*15</f>
        <v>300</v>
      </c>
      <c r="J26" s="86">
        <v>37963</v>
      </c>
      <c r="K26" s="83"/>
    </row>
    <row r="27" ht="32.25" customHeight="1" spans="1:11">
      <c r="A27" s="82">
        <f t="shared" si="0"/>
        <v>26</v>
      </c>
      <c r="B27" s="83" t="s">
        <v>778</v>
      </c>
      <c r="C27" s="83" t="s">
        <v>13</v>
      </c>
      <c r="D27" s="83" t="s">
        <v>750</v>
      </c>
      <c r="E27" s="83" t="s">
        <v>751</v>
      </c>
      <c r="F27" s="83" t="s">
        <v>752</v>
      </c>
      <c r="G27" s="83">
        <v>120</v>
      </c>
      <c r="H27" s="83" t="s">
        <v>753</v>
      </c>
      <c r="I27" s="83">
        <v>165</v>
      </c>
      <c r="J27" s="86">
        <v>37963</v>
      </c>
      <c r="K27" s="83"/>
    </row>
    <row r="28" ht="32.25" customHeight="1" spans="1:11">
      <c r="A28" s="82">
        <f t="shared" si="0"/>
        <v>27</v>
      </c>
      <c r="B28" s="83" t="s">
        <v>779</v>
      </c>
      <c r="C28" s="83" t="s">
        <v>13</v>
      </c>
      <c r="D28" s="83" t="s">
        <v>750</v>
      </c>
      <c r="E28" s="83" t="s">
        <v>751</v>
      </c>
      <c r="F28" s="83" t="s">
        <v>752</v>
      </c>
      <c r="G28" s="83">
        <v>120</v>
      </c>
      <c r="H28" s="83" t="s">
        <v>753</v>
      </c>
      <c r="I28" s="83">
        <v>660</v>
      </c>
      <c r="J28" s="86">
        <v>37963</v>
      </c>
      <c r="K28" s="83"/>
    </row>
    <row r="29" ht="32.25" customHeight="1" spans="1:11">
      <c r="A29" s="82">
        <f t="shared" si="0"/>
        <v>28</v>
      </c>
      <c r="B29" s="83" t="s">
        <v>780</v>
      </c>
      <c r="C29" s="83" t="s">
        <v>13</v>
      </c>
      <c r="D29" s="83" t="s">
        <v>750</v>
      </c>
      <c r="E29" s="83" t="s">
        <v>751</v>
      </c>
      <c r="F29" s="83" t="s">
        <v>752</v>
      </c>
      <c r="G29" s="83">
        <v>120</v>
      </c>
      <c r="H29" s="83" t="s">
        <v>753</v>
      </c>
      <c r="I29" s="83">
        <v>390</v>
      </c>
      <c r="J29" s="86">
        <v>37963</v>
      </c>
      <c r="K29" s="83"/>
    </row>
    <row r="30" ht="32.25" customHeight="1" spans="1:11">
      <c r="A30" s="82">
        <f t="shared" si="0"/>
        <v>29</v>
      </c>
      <c r="B30" s="83" t="s">
        <v>781</v>
      </c>
      <c r="C30" s="83" t="s">
        <v>13</v>
      </c>
      <c r="D30" s="83" t="s">
        <v>750</v>
      </c>
      <c r="E30" s="83" t="s">
        <v>751</v>
      </c>
      <c r="F30" s="83" t="s">
        <v>752</v>
      </c>
      <c r="G30" s="83">
        <v>120</v>
      </c>
      <c r="H30" s="83" t="s">
        <v>753</v>
      </c>
      <c r="I30" s="83">
        <v>380</v>
      </c>
      <c r="J30" s="86">
        <v>37963</v>
      </c>
      <c r="K30" s="83"/>
    </row>
    <row r="31" ht="32.25" customHeight="1" spans="1:11">
      <c r="A31" s="82">
        <f t="shared" si="0"/>
        <v>30</v>
      </c>
      <c r="B31" s="83" t="s">
        <v>782</v>
      </c>
      <c r="C31" s="83" t="s">
        <v>13</v>
      </c>
      <c r="D31" s="83" t="s">
        <v>750</v>
      </c>
      <c r="E31" s="83" t="s">
        <v>751</v>
      </c>
      <c r="F31" s="83" t="s">
        <v>752</v>
      </c>
      <c r="G31" s="83">
        <v>120</v>
      </c>
      <c r="H31" s="83" t="s">
        <v>753</v>
      </c>
      <c r="I31" s="83">
        <v>198</v>
      </c>
      <c r="J31" s="86">
        <v>37963</v>
      </c>
      <c r="K31" s="83"/>
    </row>
    <row r="32" ht="26.25" customHeight="1" spans="1:11">
      <c r="A32" s="82">
        <f t="shared" si="0"/>
        <v>31</v>
      </c>
      <c r="B32" s="87" t="s">
        <v>783</v>
      </c>
      <c r="C32" s="83" t="s">
        <v>13</v>
      </c>
      <c r="D32" s="83" t="s">
        <v>750</v>
      </c>
      <c r="E32" s="83" t="s">
        <v>751</v>
      </c>
      <c r="F32" s="83" t="s">
        <v>752</v>
      </c>
      <c r="G32" s="83">
        <v>120</v>
      </c>
      <c r="H32" s="83" t="s">
        <v>753</v>
      </c>
      <c r="I32" s="19">
        <v>80</v>
      </c>
      <c r="J32" s="86">
        <v>37963</v>
      </c>
      <c r="K32" s="83"/>
    </row>
    <row r="33" ht="26.25" customHeight="1" spans="1:11">
      <c r="A33" s="82">
        <f t="shared" si="0"/>
        <v>32</v>
      </c>
      <c r="B33" s="83" t="s">
        <v>784</v>
      </c>
      <c r="C33" s="83" t="s">
        <v>13</v>
      </c>
      <c r="D33" s="83" t="s">
        <v>750</v>
      </c>
      <c r="E33" s="83" t="s">
        <v>751</v>
      </c>
      <c r="F33" s="83" t="s">
        <v>752</v>
      </c>
      <c r="G33" s="83">
        <v>120</v>
      </c>
      <c r="H33" s="83" t="s">
        <v>753</v>
      </c>
      <c r="I33" s="19">
        <v>36</v>
      </c>
      <c r="J33" s="86">
        <v>37963</v>
      </c>
      <c r="K33" s="83"/>
    </row>
    <row r="34" ht="26.25" customHeight="1" spans="1:11">
      <c r="A34" s="82">
        <f t="shared" si="0"/>
        <v>33</v>
      </c>
      <c r="B34" s="87" t="s">
        <v>785</v>
      </c>
      <c r="C34" s="83" t="s">
        <v>13</v>
      </c>
      <c r="D34" s="83" t="s">
        <v>750</v>
      </c>
      <c r="E34" s="83" t="s">
        <v>751</v>
      </c>
      <c r="F34" s="83" t="s">
        <v>752</v>
      </c>
      <c r="G34" s="83">
        <v>120</v>
      </c>
      <c r="H34" s="83" t="s">
        <v>753</v>
      </c>
      <c r="I34" s="19">
        <v>128</v>
      </c>
      <c r="J34" s="86">
        <v>37963</v>
      </c>
      <c r="K34" s="83"/>
    </row>
    <row r="35" ht="26.25" customHeight="1" spans="1:11">
      <c r="A35" s="82">
        <f t="shared" si="0"/>
        <v>34</v>
      </c>
      <c r="B35" s="87" t="s">
        <v>786</v>
      </c>
      <c r="C35" s="83" t="s">
        <v>13</v>
      </c>
      <c r="D35" s="83" t="s">
        <v>750</v>
      </c>
      <c r="E35" s="83" t="s">
        <v>751</v>
      </c>
      <c r="F35" s="83" t="s">
        <v>752</v>
      </c>
      <c r="G35" s="83">
        <v>120</v>
      </c>
      <c r="H35" s="83" t="s">
        <v>753</v>
      </c>
      <c r="I35" s="19">
        <v>784</v>
      </c>
      <c r="J35" s="86">
        <v>37963</v>
      </c>
      <c r="K35" s="83"/>
    </row>
    <row r="36" ht="26.25" customHeight="1" spans="1:11">
      <c r="A36" s="82">
        <f t="shared" si="0"/>
        <v>35</v>
      </c>
      <c r="B36" s="87" t="s">
        <v>787</v>
      </c>
      <c r="C36" s="83" t="s">
        <v>13</v>
      </c>
      <c r="D36" s="83" t="s">
        <v>750</v>
      </c>
      <c r="E36" s="83" t="s">
        <v>751</v>
      </c>
      <c r="F36" s="83" t="s">
        <v>752</v>
      </c>
      <c r="G36" s="83">
        <v>120</v>
      </c>
      <c r="H36" s="83" t="s">
        <v>753</v>
      </c>
      <c r="I36" s="19">
        <v>124</v>
      </c>
      <c r="J36" s="86">
        <v>37963</v>
      </c>
      <c r="K36" s="83"/>
    </row>
    <row r="37" ht="26.25" customHeight="1" spans="1:11">
      <c r="A37" s="82">
        <f t="shared" si="0"/>
        <v>36</v>
      </c>
      <c r="B37" s="88" t="s">
        <v>788</v>
      </c>
      <c r="C37" s="83" t="s">
        <v>13</v>
      </c>
      <c r="D37" s="83" t="s">
        <v>750</v>
      </c>
      <c r="E37" s="83" t="s">
        <v>751</v>
      </c>
      <c r="F37" s="83" t="s">
        <v>752</v>
      </c>
      <c r="G37" s="83">
        <v>120</v>
      </c>
      <c r="H37" s="83" t="s">
        <v>753</v>
      </c>
      <c r="I37" s="19">
        <v>360</v>
      </c>
      <c r="J37" s="86">
        <v>37963</v>
      </c>
      <c r="K37" s="83"/>
    </row>
    <row r="38" ht="26.25" customHeight="1" spans="1:11">
      <c r="A38" s="82">
        <f t="shared" si="0"/>
        <v>37</v>
      </c>
      <c r="B38" s="83" t="s">
        <v>789</v>
      </c>
      <c r="C38" s="83" t="s">
        <v>13</v>
      </c>
      <c r="D38" s="83" t="s">
        <v>750</v>
      </c>
      <c r="E38" s="83" t="s">
        <v>751</v>
      </c>
      <c r="F38" s="83" t="s">
        <v>752</v>
      </c>
      <c r="G38" s="83">
        <v>120</v>
      </c>
      <c r="H38" s="83" t="s">
        <v>753</v>
      </c>
      <c r="I38" s="19">
        <v>296</v>
      </c>
      <c r="J38" s="86">
        <v>37963</v>
      </c>
      <c r="K38" s="83"/>
    </row>
    <row r="39" ht="26.25" customHeight="1" spans="1:11">
      <c r="A39" s="82">
        <f t="shared" si="0"/>
        <v>38</v>
      </c>
      <c r="B39" s="83" t="s">
        <v>790</v>
      </c>
      <c r="C39" s="83" t="s">
        <v>13</v>
      </c>
      <c r="D39" s="83" t="s">
        <v>750</v>
      </c>
      <c r="E39" s="83" t="s">
        <v>751</v>
      </c>
      <c r="F39" s="83" t="s">
        <v>752</v>
      </c>
      <c r="G39" s="83">
        <v>120</v>
      </c>
      <c r="H39" s="83" t="s">
        <v>753</v>
      </c>
      <c r="I39" s="19">
        <v>388</v>
      </c>
      <c r="J39" s="86">
        <v>37963</v>
      </c>
      <c r="K39" s="83"/>
    </row>
    <row r="40" s="17" customFormat="1" ht="26.25" customHeight="1" spans="1:11">
      <c r="A40" s="82">
        <f t="shared" si="0"/>
        <v>39</v>
      </c>
      <c r="B40" s="83" t="s">
        <v>791</v>
      </c>
      <c r="C40" s="83" t="s">
        <v>13</v>
      </c>
      <c r="D40" s="83" t="s">
        <v>750</v>
      </c>
      <c r="E40" s="83" t="s">
        <v>751</v>
      </c>
      <c r="F40" s="83" t="s">
        <v>752</v>
      </c>
      <c r="G40" s="83">
        <v>120</v>
      </c>
      <c r="H40" s="83" t="s">
        <v>753</v>
      </c>
      <c r="I40" s="19">
        <v>56</v>
      </c>
      <c r="J40" s="86">
        <v>37963</v>
      </c>
      <c r="K40" s="83"/>
    </row>
    <row r="41" s="17" customFormat="1" ht="26.25" customHeight="1" spans="1:11">
      <c r="A41" s="82">
        <f t="shared" si="0"/>
        <v>40</v>
      </c>
      <c r="B41" s="83" t="s">
        <v>792</v>
      </c>
      <c r="C41" s="83" t="s">
        <v>13</v>
      </c>
      <c r="D41" s="83" t="s">
        <v>750</v>
      </c>
      <c r="E41" s="83" t="s">
        <v>751</v>
      </c>
      <c r="F41" s="83" t="s">
        <v>752</v>
      </c>
      <c r="G41" s="83">
        <v>120</v>
      </c>
      <c r="H41" s="83" t="s">
        <v>753</v>
      </c>
      <c r="I41" s="19">
        <v>1120</v>
      </c>
      <c r="J41" s="86">
        <v>37963</v>
      </c>
      <c r="K41" s="83"/>
    </row>
    <row r="42" s="17" customFormat="1" ht="26.25" customHeight="1" spans="1:11">
      <c r="A42" s="82">
        <f t="shared" si="0"/>
        <v>41</v>
      </c>
      <c r="B42" s="83" t="s">
        <v>793</v>
      </c>
      <c r="C42" s="83" t="s">
        <v>13</v>
      </c>
      <c r="D42" s="83" t="s">
        <v>750</v>
      </c>
      <c r="E42" s="83" t="s">
        <v>751</v>
      </c>
      <c r="F42" s="83" t="s">
        <v>752</v>
      </c>
      <c r="G42" s="83">
        <v>120</v>
      </c>
      <c r="H42" s="83" t="s">
        <v>753</v>
      </c>
      <c r="I42" s="19">
        <v>12</v>
      </c>
      <c r="J42" s="86">
        <v>37963</v>
      </c>
      <c r="K42" s="83"/>
    </row>
    <row r="43" s="17" customFormat="1" ht="26.25" customHeight="1" spans="1:11">
      <c r="A43" s="82">
        <f t="shared" si="0"/>
        <v>42</v>
      </c>
      <c r="B43" s="83" t="s">
        <v>794</v>
      </c>
      <c r="C43" s="83" t="s">
        <v>13</v>
      </c>
      <c r="D43" s="83" t="s">
        <v>750</v>
      </c>
      <c r="E43" s="83" t="s">
        <v>751</v>
      </c>
      <c r="F43" s="83" t="s">
        <v>752</v>
      </c>
      <c r="G43" s="83">
        <v>120</v>
      </c>
      <c r="H43" s="83" t="s">
        <v>753</v>
      </c>
      <c r="I43" s="19">
        <v>768</v>
      </c>
      <c r="J43" s="86">
        <v>37963</v>
      </c>
      <c r="K43" s="83"/>
    </row>
    <row r="44" ht="26.25" customHeight="1" spans="1:11">
      <c r="A44" s="82">
        <f t="shared" si="0"/>
        <v>43</v>
      </c>
      <c r="B44" s="83" t="s">
        <v>795</v>
      </c>
      <c r="C44" s="83" t="s">
        <v>13</v>
      </c>
      <c r="D44" s="83" t="s">
        <v>750</v>
      </c>
      <c r="E44" s="83" t="s">
        <v>751</v>
      </c>
      <c r="F44" s="83" t="s">
        <v>752</v>
      </c>
      <c r="G44" s="83">
        <v>120</v>
      </c>
      <c r="H44" s="83" t="s">
        <v>753</v>
      </c>
      <c r="I44" s="19">
        <v>8</v>
      </c>
      <c r="J44" s="86">
        <v>37963</v>
      </c>
      <c r="K44" s="83"/>
    </row>
    <row r="45" ht="26.25" customHeight="1" spans="1:11">
      <c r="A45" s="82">
        <f t="shared" si="0"/>
        <v>44</v>
      </c>
      <c r="B45" s="83" t="s">
        <v>796</v>
      </c>
      <c r="C45" s="83" t="s">
        <v>13</v>
      </c>
      <c r="D45" s="83" t="s">
        <v>750</v>
      </c>
      <c r="E45" s="83" t="s">
        <v>751</v>
      </c>
      <c r="F45" s="83" t="s">
        <v>752</v>
      </c>
      <c r="G45" s="83">
        <v>120</v>
      </c>
      <c r="H45" s="83" t="s">
        <v>753</v>
      </c>
      <c r="I45" s="19">
        <v>136</v>
      </c>
      <c r="J45" s="86">
        <v>37963</v>
      </c>
      <c r="K45" s="83"/>
    </row>
    <row r="46" ht="26.25" customHeight="1" spans="1:11">
      <c r="A46" s="82">
        <f t="shared" si="0"/>
        <v>45</v>
      </c>
      <c r="B46" s="83" t="s">
        <v>797</v>
      </c>
      <c r="C46" s="83" t="s">
        <v>13</v>
      </c>
      <c r="D46" s="83" t="s">
        <v>750</v>
      </c>
      <c r="E46" s="83" t="s">
        <v>751</v>
      </c>
      <c r="F46" s="83" t="s">
        <v>752</v>
      </c>
      <c r="G46" s="83">
        <v>120</v>
      </c>
      <c r="H46" s="83" t="s">
        <v>753</v>
      </c>
      <c r="I46" s="19">
        <v>12</v>
      </c>
      <c r="J46" s="86">
        <v>37963</v>
      </c>
      <c r="K46" s="83"/>
    </row>
    <row r="47" ht="26.25" customHeight="1" spans="1:11">
      <c r="A47" s="82">
        <f t="shared" si="0"/>
        <v>46</v>
      </c>
      <c r="B47" s="83" t="s">
        <v>798</v>
      </c>
      <c r="C47" s="83" t="s">
        <v>13</v>
      </c>
      <c r="D47" s="83" t="s">
        <v>750</v>
      </c>
      <c r="E47" s="83" t="s">
        <v>751</v>
      </c>
      <c r="F47" s="83" t="s">
        <v>752</v>
      </c>
      <c r="G47" s="83">
        <v>120</v>
      </c>
      <c r="H47" s="83" t="s">
        <v>753</v>
      </c>
      <c r="I47" s="19">
        <v>88</v>
      </c>
      <c r="J47" s="86">
        <v>37963</v>
      </c>
      <c r="K47" s="83"/>
    </row>
    <row r="48" ht="26.25" customHeight="1" spans="1:11">
      <c r="A48" s="82">
        <f t="shared" si="0"/>
        <v>47</v>
      </c>
      <c r="B48" s="83" t="s">
        <v>799</v>
      </c>
      <c r="C48" s="83" t="s">
        <v>13</v>
      </c>
      <c r="D48" s="83" t="s">
        <v>750</v>
      </c>
      <c r="E48" s="83" t="s">
        <v>751</v>
      </c>
      <c r="F48" s="83" t="s">
        <v>752</v>
      </c>
      <c r="G48" s="83">
        <v>120</v>
      </c>
      <c r="H48" s="83" t="s">
        <v>753</v>
      </c>
      <c r="I48" s="19">
        <v>476</v>
      </c>
      <c r="J48" s="86">
        <v>37963</v>
      </c>
      <c r="K48" s="83"/>
    </row>
    <row r="49" ht="26.25" customHeight="1" spans="1:11">
      <c r="A49" s="82">
        <f t="shared" si="0"/>
        <v>48</v>
      </c>
      <c r="B49" s="83" t="s">
        <v>800</v>
      </c>
      <c r="C49" s="83" t="s">
        <v>13</v>
      </c>
      <c r="D49" s="83" t="s">
        <v>750</v>
      </c>
      <c r="E49" s="83" t="s">
        <v>751</v>
      </c>
      <c r="F49" s="83" t="s">
        <v>752</v>
      </c>
      <c r="G49" s="83">
        <v>120</v>
      </c>
      <c r="H49" s="83" t="s">
        <v>753</v>
      </c>
      <c r="I49" s="19">
        <v>56</v>
      </c>
      <c r="J49" s="86">
        <v>37963</v>
      </c>
      <c r="K49" s="83"/>
    </row>
    <row r="50" ht="26.25" customHeight="1" spans="1:11">
      <c r="A50" s="82">
        <f t="shared" si="0"/>
        <v>49</v>
      </c>
      <c r="B50" s="83" t="s">
        <v>801</v>
      </c>
      <c r="C50" s="83" t="s">
        <v>13</v>
      </c>
      <c r="D50" s="83" t="s">
        <v>750</v>
      </c>
      <c r="E50" s="83" t="s">
        <v>751</v>
      </c>
      <c r="F50" s="83" t="s">
        <v>752</v>
      </c>
      <c r="G50" s="83">
        <v>120</v>
      </c>
      <c r="H50" s="83" t="s">
        <v>753</v>
      </c>
      <c r="I50" s="19">
        <v>36</v>
      </c>
      <c r="J50" s="86">
        <v>37963</v>
      </c>
      <c r="K50" s="83"/>
    </row>
    <row r="51" ht="26.25" customHeight="1" spans="1:11">
      <c r="A51" s="82">
        <f t="shared" si="0"/>
        <v>50</v>
      </c>
      <c r="B51" s="83" t="s">
        <v>802</v>
      </c>
      <c r="C51" s="83" t="s">
        <v>13</v>
      </c>
      <c r="D51" s="83" t="s">
        <v>750</v>
      </c>
      <c r="E51" s="83" t="s">
        <v>751</v>
      </c>
      <c r="F51" s="83" t="s">
        <v>752</v>
      </c>
      <c r="G51" s="83">
        <v>120</v>
      </c>
      <c r="H51" s="83" t="s">
        <v>753</v>
      </c>
      <c r="I51" s="19">
        <f>516-420</f>
        <v>96</v>
      </c>
      <c r="J51" s="86">
        <v>37963</v>
      </c>
      <c r="K51" s="83"/>
    </row>
    <row r="52" ht="26.25" customHeight="1" spans="1:11">
      <c r="A52" s="82">
        <f t="shared" si="0"/>
        <v>51</v>
      </c>
      <c r="B52" s="83" t="s">
        <v>803</v>
      </c>
      <c r="C52" s="83" t="s">
        <v>13</v>
      </c>
      <c r="D52" s="83" t="s">
        <v>750</v>
      </c>
      <c r="E52" s="83" t="s">
        <v>751</v>
      </c>
      <c r="F52" s="83" t="s">
        <v>752</v>
      </c>
      <c r="G52" s="83">
        <v>120</v>
      </c>
      <c r="H52" s="83" t="s">
        <v>753</v>
      </c>
      <c r="I52" s="19">
        <v>32</v>
      </c>
      <c r="J52" s="86">
        <v>37963</v>
      </c>
      <c r="K52" s="83"/>
    </row>
    <row r="53" ht="26.25" customHeight="1" spans="1:11">
      <c r="A53" s="82">
        <f t="shared" si="0"/>
        <v>52</v>
      </c>
      <c r="B53" s="83" t="s">
        <v>804</v>
      </c>
      <c r="C53" s="83" t="s">
        <v>13</v>
      </c>
      <c r="D53" s="83" t="s">
        <v>750</v>
      </c>
      <c r="E53" s="83" t="s">
        <v>751</v>
      </c>
      <c r="F53" s="83" t="s">
        <v>752</v>
      </c>
      <c r="G53" s="83">
        <v>120</v>
      </c>
      <c r="H53" s="83" t="s">
        <v>753</v>
      </c>
      <c r="I53" s="19">
        <v>468</v>
      </c>
      <c r="J53" s="86">
        <v>37963</v>
      </c>
      <c r="K53" s="83"/>
    </row>
    <row r="54" ht="26.25" customHeight="1" spans="1:11">
      <c r="A54" s="82">
        <f t="shared" si="0"/>
        <v>53</v>
      </c>
      <c r="B54" s="83" t="s">
        <v>805</v>
      </c>
      <c r="C54" s="83" t="s">
        <v>13</v>
      </c>
      <c r="D54" s="83" t="s">
        <v>750</v>
      </c>
      <c r="E54" s="83" t="s">
        <v>751</v>
      </c>
      <c r="F54" s="83" t="s">
        <v>752</v>
      </c>
      <c r="G54" s="83">
        <v>120</v>
      </c>
      <c r="H54" s="83" t="s">
        <v>753</v>
      </c>
      <c r="I54" s="19">
        <f>256+180</f>
        <v>436</v>
      </c>
      <c r="J54" s="86">
        <v>37963</v>
      </c>
      <c r="K54" s="83"/>
    </row>
    <row r="55" ht="26.25" customHeight="1" spans="1:11">
      <c r="A55" s="82">
        <f t="shared" si="0"/>
        <v>54</v>
      </c>
      <c r="B55" s="83" t="s">
        <v>806</v>
      </c>
      <c r="C55" s="83" t="s">
        <v>13</v>
      </c>
      <c r="D55" s="83" t="s">
        <v>750</v>
      </c>
      <c r="E55" s="83" t="s">
        <v>751</v>
      </c>
      <c r="F55" s="83" t="s">
        <v>752</v>
      </c>
      <c r="G55" s="83">
        <v>120</v>
      </c>
      <c r="H55" s="83" t="s">
        <v>753</v>
      </c>
      <c r="I55" s="19">
        <v>72</v>
      </c>
      <c r="J55" s="86">
        <v>37963</v>
      </c>
      <c r="K55" s="83"/>
    </row>
    <row r="56" ht="26.25" customHeight="1" spans="1:11">
      <c r="A56" s="82">
        <f t="shared" si="0"/>
        <v>55</v>
      </c>
      <c r="B56" s="83" t="s">
        <v>807</v>
      </c>
      <c r="C56" s="83" t="s">
        <v>13</v>
      </c>
      <c r="D56" s="83" t="s">
        <v>750</v>
      </c>
      <c r="E56" s="83" t="s">
        <v>751</v>
      </c>
      <c r="F56" s="83" t="s">
        <v>752</v>
      </c>
      <c r="G56" s="83">
        <v>120</v>
      </c>
      <c r="H56" s="83" t="s">
        <v>753</v>
      </c>
      <c r="I56" s="19">
        <v>400</v>
      </c>
      <c r="J56" s="86">
        <v>37963</v>
      </c>
      <c r="K56" s="83"/>
    </row>
    <row r="57" ht="26.25" customHeight="1" spans="1:11">
      <c r="A57" s="82">
        <f t="shared" si="0"/>
        <v>56</v>
      </c>
      <c r="B57" s="83" t="s">
        <v>808</v>
      </c>
      <c r="C57" s="83" t="s">
        <v>13</v>
      </c>
      <c r="D57" s="83" t="s">
        <v>750</v>
      </c>
      <c r="E57" s="83" t="s">
        <v>751</v>
      </c>
      <c r="F57" s="83" t="s">
        <v>752</v>
      </c>
      <c r="G57" s="83">
        <v>120</v>
      </c>
      <c r="H57" s="83" t="s">
        <v>753</v>
      </c>
      <c r="I57" s="19">
        <v>136</v>
      </c>
      <c r="J57" s="86">
        <v>37963</v>
      </c>
      <c r="K57" s="83"/>
    </row>
    <row r="58" ht="26.25" customHeight="1" spans="1:11">
      <c r="A58" s="82">
        <f t="shared" si="0"/>
        <v>57</v>
      </c>
      <c r="B58" s="83" t="s">
        <v>809</v>
      </c>
      <c r="C58" s="83" t="s">
        <v>13</v>
      </c>
      <c r="D58" s="83" t="s">
        <v>750</v>
      </c>
      <c r="E58" s="83" t="s">
        <v>751</v>
      </c>
      <c r="F58" s="83" t="s">
        <v>752</v>
      </c>
      <c r="G58" s="83">
        <v>120</v>
      </c>
      <c r="H58" s="83" t="s">
        <v>753</v>
      </c>
      <c r="I58" s="19">
        <v>352</v>
      </c>
      <c r="J58" s="86">
        <v>37963</v>
      </c>
      <c r="K58" s="83"/>
    </row>
    <row r="59" ht="26.25" customHeight="1" spans="1:11">
      <c r="A59" s="82">
        <f t="shared" si="0"/>
        <v>58</v>
      </c>
      <c r="B59" s="83" t="s">
        <v>810</v>
      </c>
      <c r="C59" s="83" t="s">
        <v>13</v>
      </c>
      <c r="D59" s="83" t="s">
        <v>750</v>
      </c>
      <c r="E59" s="83" t="s">
        <v>751</v>
      </c>
      <c r="F59" s="83" t="s">
        <v>752</v>
      </c>
      <c r="G59" s="83">
        <v>120</v>
      </c>
      <c r="H59" s="83" t="s">
        <v>753</v>
      </c>
      <c r="I59" s="19">
        <f>528+88</f>
        <v>616</v>
      </c>
      <c r="J59" s="86">
        <v>37963</v>
      </c>
      <c r="K59" s="83"/>
    </row>
    <row r="60" ht="26.25" customHeight="1" spans="1:11">
      <c r="A60" s="82">
        <f t="shared" si="0"/>
        <v>59</v>
      </c>
      <c r="B60" s="83" t="s">
        <v>811</v>
      </c>
      <c r="C60" s="83" t="s">
        <v>13</v>
      </c>
      <c r="D60" s="83" t="s">
        <v>750</v>
      </c>
      <c r="E60" s="83" t="s">
        <v>751</v>
      </c>
      <c r="F60" s="83" t="s">
        <v>752</v>
      </c>
      <c r="G60" s="83">
        <v>120</v>
      </c>
      <c r="H60" s="83" t="s">
        <v>753</v>
      </c>
      <c r="I60" s="19">
        <v>12</v>
      </c>
      <c r="J60" s="86">
        <v>37963</v>
      </c>
      <c r="K60" s="83"/>
    </row>
    <row r="61" ht="26.25" customHeight="1" spans="1:11">
      <c r="A61" s="82">
        <f t="shared" si="0"/>
        <v>60</v>
      </c>
      <c r="B61" s="83" t="s">
        <v>812</v>
      </c>
      <c r="C61" s="83" t="s">
        <v>13</v>
      </c>
      <c r="D61" s="83" t="s">
        <v>750</v>
      </c>
      <c r="E61" s="83" t="s">
        <v>751</v>
      </c>
      <c r="F61" s="83" t="s">
        <v>752</v>
      </c>
      <c r="G61" s="83">
        <v>120</v>
      </c>
      <c r="H61" s="83" t="s">
        <v>753</v>
      </c>
      <c r="I61" s="19">
        <v>16</v>
      </c>
      <c r="J61" s="86">
        <v>37963</v>
      </c>
      <c r="K61" s="83"/>
    </row>
    <row r="62" ht="26.25" customHeight="1" spans="1:11">
      <c r="A62" s="82">
        <f t="shared" si="0"/>
        <v>61</v>
      </c>
      <c r="B62" s="83" t="s">
        <v>813</v>
      </c>
      <c r="C62" s="83" t="s">
        <v>13</v>
      </c>
      <c r="D62" s="83" t="s">
        <v>750</v>
      </c>
      <c r="E62" s="83" t="s">
        <v>751</v>
      </c>
      <c r="F62" s="83" t="s">
        <v>752</v>
      </c>
      <c r="G62" s="83">
        <v>120</v>
      </c>
      <c r="H62" s="83" t="s">
        <v>753</v>
      </c>
      <c r="I62" s="19">
        <v>32</v>
      </c>
      <c r="J62" s="86">
        <v>37963</v>
      </c>
      <c r="K62" s="83"/>
    </row>
    <row r="63" ht="26.25" customHeight="1" spans="1:11">
      <c r="A63" s="82">
        <f t="shared" si="0"/>
        <v>62</v>
      </c>
      <c r="B63" s="83" t="s">
        <v>814</v>
      </c>
      <c r="C63" s="83" t="s">
        <v>13</v>
      </c>
      <c r="D63" s="83" t="s">
        <v>750</v>
      </c>
      <c r="E63" s="83" t="s">
        <v>751</v>
      </c>
      <c r="F63" s="83" t="s">
        <v>752</v>
      </c>
      <c r="G63" s="83">
        <v>120</v>
      </c>
      <c r="H63" s="83" t="s">
        <v>753</v>
      </c>
      <c r="I63" s="19">
        <v>12</v>
      </c>
      <c r="J63" s="86">
        <v>37963</v>
      </c>
      <c r="K63" s="83"/>
    </row>
    <row r="64" ht="26.25" customHeight="1" spans="1:11">
      <c r="A64" s="82">
        <f t="shared" si="0"/>
        <v>63</v>
      </c>
      <c r="B64" s="83" t="s">
        <v>815</v>
      </c>
      <c r="C64" s="83" t="s">
        <v>13</v>
      </c>
      <c r="D64" s="83" t="s">
        <v>750</v>
      </c>
      <c r="E64" s="83" t="s">
        <v>751</v>
      </c>
      <c r="F64" s="83" t="s">
        <v>752</v>
      </c>
      <c r="G64" s="83">
        <v>120</v>
      </c>
      <c r="H64" s="83" t="s">
        <v>753</v>
      </c>
      <c r="I64" s="19">
        <v>40</v>
      </c>
      <c r="J64" s="86">
        <v>37963</v>
      </c>
      <c r="K64" s="83"/>
    </row>
    <row r="65" ht="26.25" customHeight="1" spans="1:13">
      <c r="A65" s="82">
        <f t="shared" si="0"/>
        <v>64</v>
      </c>
      <c r="B65" s="83" t="s">
        <v>816</v>
      </c>
      <c r="C65" s="83" t="s">
        <v>13</v>
      </c>
      <c r="D65" s="83" t="s">
        <v>750</v>
      </c>
      <c r="E65" s="83" t="s">
        <v>751</v>
      </c>
      <c r="F65" s="83" t="s">
        <v>752</v>
      </c>
      <c r="G65" s="83">
        <v>120</v>
      </c>
      <c r="H65" s="83" t="s">
        <v>753</v>
      </c>
      <c r="I65" s="19">
        <f>17*4</f>
        <v>68</v>
      </c>
      <c r="J65" s="86">
        <v>37963</v>
      </c>
      <c r="K65" s="83"/>
    </row>
    <row r="66" ht="26.25" customHeight="1" spans="1:13">
      <c r="A66" s="82">
        <f t="shared" si="0"/>
        <v>65</v>
      </c>
      <c r="B66" s="84" t="s">
        <v>817</v>
      </c>
      <c r="C66" s="83" t="s">
        <v>13</v>
      </c>
      <c r="D66" s="83" t="s">
        <v>750</v>
      </c>
      <c r="E66" s="83" t="s">
        <v>751</v>
      </c>
      <c r="F66" s="83" t="s">
        <v>752</v>
      </c>
      <c r="G66" s="83">
        <v>120</v>
      </c>
      <c r="H66" s="83" t="s">
        <v>753</v>
      </c>
      <c r="I66" s="83">
        <v>372</v>
      </c>
      <c r="J66" s="86">
        <v>37963</v>
      </c>
      <c r="K66" s="83"/>
      <c r="L66" s="89"/>
      <c r="M66" s="89"/>
    </row>
    <row r="67" ht="26.25" customHeight="1" spans="1:13">
      <c r="A67" s="82">
        <f t="shared" si="0"/>
        <v>66</v>
      </c>
      <c r="B67" s="84" t="s">
        <v>818</v>
      </c>
      <c r="C67" s="83" t="s">
        <v>13</v>
      </c>
      <c r="D67" s="83" t="s">
        <v>750</v>
      </c>
      <c r="E67" s="83" t="s">
        <v>751</v>
      </c>
      <c r="F67" s="83" t="s">
        <v>752</v>
      </c>
      <c r="G67" s="83">
        <v>120</v>
      </c>
      <c r="H67" s="83" t="s">
        <v>753</v>
      </c>
      <c r="I67" s="83">
        <v>512</v>
      </c>
      <c r="J67" s="86">
        <v>37963</v>
      </c>
      <c r="K67" s="83"/>
      <c r="L67" s="89"/>
      <c r="M67" s="89"/>
    </row>
    <row r="68" ht="26.25" customHeight="1" spans="1:13">
      <c r="A68" s="82">
        <f t="shared" ref="A68:A131" si="1">ROW(B68)-1</f>
        <v>67</v>
      </c>
      <c r="B68" s="84" t="s">
        <v>819</v>
      </c>
      <c r="C68" s="83" t="s">
        <v>13</v>
      </c>
      <c r="D68" s="83" t="s">
        <v>750</v>
      </c>
      <c r="E68" s="83" t="s">
        <v>751</v>
      </c>
      <c r="F68" s="83" t="s">
        <v>752</v>
      </c>
      <c r="G68" s="83">
        <v>120</v>
      </c>
      <c r="H68" s="83" t="s">
        <v>753</v>
      </c>
      <c r="I68" s="83">
        <v>228</v>
      </c>
      <c r="J68" s="86">
        <v>37963</v>
      </c>
      <c r="K68" s="83"/>
      <c r="L68" s="89"/>
      <c r="M68" s="89"/>
    </row>
    <row r="69" ht="26.25" customHeight="1" spans="1:13">
      <c r="A69" s="82">
        <f t="shared" si="1"/>
        <v>68</v>
      </c>
      <c r="B69" s="84" t="s">
        <v>820</v>
      </c>
      <c r="C69" s="83" t="s">
        <v>13</v>
      </c>
      <c r="D69" s="83" t="s">
        <v>750</v>
      </c>
      <c r="E69" s="83" t="s">
        <v>751</v>
      </c>
      <c r="F69" s="83" t="s">
        <v>752</v>
      </c>
      <c r="G69" s="83">
        <v>120</v>
      </c>
      <c r="H69" s="83" t="s">
        <v>753</v>
      </c>
      <c r="I69" s="83">
        <v>2410</v>
      </c>
      <c r="J69" s="86">
        <v>37963</v>
      </c>
      <c r="K69" s="83"/>
      <c r="L69" s="89"/>
      <c r="M69" s="89"/>
    </row>
    <row r="70" ht="26.25" customHeight="1" spans="1:13">
      <c r="A70" s="82">
        <f t="shared" si="1"/>
        <v>69</v>
      </c>
      <c r="B70" s="84" t="s">
        <v>821</v>
      </c>
      <c r="C70" s="83" t="s">
        <v>13</v>
      </c>
      <c r="D70" s="83" t="s">
        <v>750</v>
      </c>
      <c r="E70" s="83" t="s">
        <v>751</v>
      </c>
      <c r="F70" s="83" t="s">
        <v>752</v>
      </c>
      <c r="G70" s="83">
        <v>120</v>
      </c>
      <c r="H70" s="83" t="s">
        <v>753</v>
      </c>
      <c r="I70" s="83">
        <v>12</v>
      </c>
      <c r="J70" s="86">
        <v>37963</v>
      </c>
      <c r="K70" s="83"/>
      <c r="L70" s="89"/>
      <c r="M70" s="89"/>
    </row>
    <row r="71" ht="26.25" customHeight="1" spans="1:13">
      <c r="A71" s="82">
        <f t="shared" si="1"/>
        <v>70</v>
      </c>
      <c r="B71" s="84" t="s">
        <v>822</v>
      </c>
      <c r="C71" s="83" t="s">
        <v>13</v>
      </c>
      <c r="D71" s="83" t="s">
        <v>750</v>
      </c>
      <c r="E71" s="83" t="s">
        <v>751</v>
      </c>
      <c r="F71" s="83" t="s">
        <v>752</v>
      </c>
      <c r="G71" s="83">
        <v>120</v>
      </c>
      <c r="H71" s="83" t="s">
        <v>753</v>
      </c>
      <c r="I71" s="83">
        <v>36</v>
      </c>
      <c r="J71" s="86">
        <v>37963</v>
      </c>
      <c r="K71" s="83"/>
      <c r="L71" s="89"/>
      <c r="M71" s="89"/>
    </row>
    <row r="72" ht="26.25" customHeight="1" spans="1:13">
      <c r="A72" s="82">
        <f t="shared" si="1"/>
        <v>71</v>
      </c>
      <c r="B72" s="84" t="s">
        <v>823</v>
      </c>
      <c r="C72" s="83" t="s">
        <v>13</v>
      </c>
      <c r="D72" s="83" t="s">
        <v>750</v>
      </c>
      <c r="E72" s="83" t="s">
        <v>751</v>
      </c>
      <c r="F72" s="83" t="s">
        <v>752</v>
      </c>
      <c r="G72" s="83">
        <v>120</v>
      </c>
      <c r="H72" s="83" t="s">
        <v>753</v>
      </c>
      <c r="I72" s="83">
        <v>376</v>
      </c>
      <c r="J72" s="86">
        <v>37963</v>
      </c>
      <c r="K72" s="83"/>
      <c r="L72" s="89"/>
      <c r="M72" s="89"/>
    </row>
    <row r="73" ht="26.25" customHeight="1" spans="1:13">
      <c r="A73" s="82">
        <f t="shared" si="1"/>
        <v>72</v>
      </c>
      <c r="B73" s="84" t="s">
        <v>824</v>
      </c>
      <c r="C73" s="83" t="s">
        <v>13</v>
      </c>
      <c r="D73" s="83" t="s">
        <v>750</v>
      </c>
      <c r="E73" s="83" t="s">
        <v>751</v>
      </c>
      <c r="F73" s="83" t="s">
        <v>752</v>
      </c>
      <c r="G73" s="83">
        <v>120</v>
      </c>
      <c r="H73" s="83" t="s">
        <v>753</v>
      </c>
      <c r="I73" s="83">
        <v>108</v>
      </c>
      <c r="J73" s="86">
        <v>37963</v>
      </c>
      <c r="K73" s="83"/>
      <c r="L73" s="89"/>
      <c r="M73" s="89"/>
    </row>
    <row r="74" ht="26.25" customHeight="1" spans="1:13">
      <c r="A74" s="82">
        <f t="shared" si="1"/>
        <v>73</v>
      </c>
      <c r="B74" s="84" t="s">
        <v>825</v>
      </c>
      <c r="C74" s="83" t="s">
        <v>13</v>
      </c>
      <c r="D74" s="83" t="s">
        <v>750</v>
      </c>
      <c r="E74" s="83" t="s">
        <v>751</v>
      </c>
      <c r="F74" s="83" t="s">
        <v>752</v>
      </c>
      <c r="G74" s="83">
        <v>120</v>
      </c>
      <c r="H74" s="83" t="s">
        <v>753</v>
      </c>
      <c r="I74" s="83">
        <v>180</v>
      </c>
      <c r="J74" s="86">
        <v>37963</v>
      </c>
      <c r="K74" s="83"/>
      <c r="L74" s="89"/>
      <c r="M74" s="89"/>
    </row>
    <row r="75" ht="26.25" customHeight="1" spans="1:13">
      <c r="A75" s="82">
        <f t="shared" si="1"/>
        <v>74</v>
      </c>
      <c r="B75" s="84" t="s">
        <v>826</v>
      </c>
      <c r="C75" s="83" t="s">
        <v>13</v>
      </c>
      <c r="D75" s="83" t="s">
        <v>750</v>
      </c>
      <c r="E75" s="83" t="s">
        <v>751</v>
      </c>
      <c r="F75" s="83" t="s">
        <v>752</v>
      </c>
      <c r="G75" s="83">
        <v>120</v>
      </c>
      <c r="H75" s="83" t="s">
        <v>753</v>
      </c>
      <c r="I75" s="83">
        <v>320</v>
      </c>
      <c r="J75" s="86">
        <v>37963</v>
      </c>
      <c r="K75" s="83"/>
      <c r="L75" s="89"/>
      <c r="M75" s="89"/>
    </row>
    <row r="76" ht="26.25" customHeight="1" spans="1:13">
      <c r="A76" s="82">
        <f t="shared" si="1"/>
        <v>75</v>
      </c>
      <c r="B76" s="84" t="s">
        <v>827</v>
      </c>
      <c r="C76" s="83" t="s">
        <v>13</v>
      </c>
      <c r="D76" s="83" t="s">
        <v>750</v>
      </c>
      <c r="E76" s="83" t="s">
        <v>751</v>
      </c>
      <c r="F76" s="83" t="s">
        <v>752</v>
      </c>
      <c r="G76" s="83">
        <v>120</v>
      </c>
      <c r="H76" s="83" t="s">
        <v>753</v>
      </c>
      <c r="I76" s="83">
        <f>16*4</f>
        <v>64</v>
      </c>
      <c r="J76" s="86">
        <v>37963</v>
      </c>
      <c r="K76" s="83"/>
      <c r="L76" s="89"/>
      <c r="M76" s="89"/>
    </row>
    <row r="77" s="17" customFormat="1" ht="24.75" customHeight="1" spans="1:13">
      <c r="A77" s="82">
        <f t="shared" si="1"/>
        <v>76</v>
      </c>
      <c r="B77" s="84" t="s">
        <v>828</v>
      </c>
      <c r="C77" s="83" t="s">
        <v>13</v>
      </c>
      <c r="D77" s="83" t="s">
        <v>750</v>
      </c>
      <c r="E77" s="83" t="s">
        <v>751</v>
      </c>
      <c r="F77" s="83" t="s">
        <v>752</v>
      </c>
      <c r="G77" s="83">
        <v>120</v>
      </c>
      <c r="H77" s="83" t="s">
        <v>753</v>
      </c>
      <c r="I77" s="83">
        <v>16</v>
      </c>
      <c r="J77" s="86">
        <v>37963</v>
      </c>
      <c r="K77" s="83"/>
      <c r="L77" s="90"/>
      <c r="M77" s="90"/>
    </row>
    <row r="78" s="17" customFormat="1" ht="26.25" customHeight="1" spans="1:13">
      <c r="A78" s="82">
        <f t="shared" si="1"/>
        <v>77</v>
      </c>
      <c r="B78" s="84" t="s">
        <v>829</v>
      </c>
      <c r="C78" s="83" t="s">
        <v>13</v>
      </c>
      <c r="D78" s="83" t="s">
        <v>750</v>
      </c>
      <c r="E78" s="83" t="s">
        <v>751</v>
      </c>
      <c r="F78" s="83" t="s">
        <v>752</v>
      </c>
      <c r="G78" s="83">
        <v>120</v>
      </c>
      <c r="H78" s="83" t="s">
        <v>753</v>
      </c>
      <c r="I78" s="83">
        <v>28</v>
      </c>
      <c r="J78" s="86">
        <v>37963</v>
      </c>
      <c r="K78" s="83"/>
      <c r="L78" s="90"/>
      <c r="M78" s="90"/>
    </row>
    <row r="79" s="17" customFormat="1" ht="26.25" customHeight="1" spans="1:13">
      <c r="A79" s="82">
        <f t="shared" si="1"/>
        <v>78</v>
      </c>
      <c r="B79" s="84" t="s">
        <v>830</v>
      </c>
      <c r="C79" s="83" t="s">
        <v>13</v>
      </c>
      <c r="D79" s="83" t="s">
        <v>750</v>
      </c>
      <c r="E79" s="83" t="s">
        <v>751</v>
      </c>
      <c r="F79" s="83" t="s">
        <v>752</v>
      </c>
      <c r="G79" s="83">
        <v>120</v>
      </c>
      <c r="H79" s="83" t="s">
        <v>753</v>
      </c>
      <c r="I79" s="83">
        <v>232</v>
      </c>
      <c r="J79" s="86">
        <v>37963</v>
      </c>
      <c r="K79" s="83"/>
      <c r="L79" s="90"/>
      <c r="M79" s="90"/>
    </row>
    <row r="80" s="17" customFormat="1" ht="26.25" customHeight="1" spans="1:13">
      <c r="A80" s="82">
        <f t="shared" si="1"/>
        <v>79</v>
      </c>
      <c r="B80" s="84" t="s">
        <v>831</v>
      </c>
      <c r="C80" s="83" t="s">
        <v>13</v>
      </c>
      <c r="D80" s="83" t="s">
        <v>750</v>
      </c>
      <c r="E80" s="83" t="s">
        <v>751</v>
      </c>
      <c r="F80" s="83" t="s">
        <v>752</v>
      </c>
      <c r="G80" s="83">
        <v>120</v>
      </c>
      <c r="H80" s="83" t="s">
        <v>753</v>
      </c>
      <c r="I80" s="83">
        <v>12</v>
      </c>
      <c r="J80" s="86">
        <v>37963</v>
      </c>
      <c r="K80" s="83"/>
      <c r="L80" s="90"/>
      <c r="M80" s="90"/>
    </row>
    <row r="81" s="17" customFormat="1" ht="26.25" customHeight="1" spans="1:13">
      <c r="A81" s="82">
        <f t="shared" si="1"/>
        <v>80</v>
      </c>
      <c r="B81" s="84" t="s">
        <v>832</v>
      </c>
      <c r="C81" s="83" t="s">
        <v>13</v>
      </c>
      <c r="D81" s="83" t="s">
        <v>750</v>
      </c>
      <c r="E81" s="83" t="s">
        <v>751</v>
      </c>
      <c r="F81" s="83" t="s">
        <v>752</v>
      </c>
      <c r="G81" s="83">
        <v>120</v>
      </c>
      <c r="H81" s="83" t="s">
        <v>753</v>
      </c>
      <c r="I81" s="83">
        <v>12</v>
      </c>
      <c r="J81" s="86">
        <v>37963</v>
      </c>
      <c r="K81" s="83"/>
      <c r="L81" s="90"/>
      <c r="M81" s="90"/>
    </row>
    <row r="82" s="17" customFormat="1" ht="26.25" customHeight="1" spans="1:13">
      <c r="A82" s="82">
        <f t="shared" si="1"/>
        <v>81</v>
      </c>
      <c r="B82" s="84" t="s">
        <v>833</v>
      </c>
      <c r="C82" s="83" t="s">
        <v>13</v>
      </c>
      <c r="D82" s="83" t="s">
        <v>750</v>
      </c>
      <c r="E82" s="83" t="s">
        <v>751</v>
      </c>
      <c r="F82" s="83" t="s">
        <v>752</v>
      </c>
      <c r="G82" s="83">
        <v>120</v>
      </c>
      <c r="H82" s="83" t="s">
        <v>753</v>
      </c>
      <c r="I82" s="83">
        <v>368</v>
      </c>
      <c r="J82" s="86">
        <v>37963</v>
      </c>
      <c r="K82" s="83"/>
      <c r="L82" s="90"/>
      <c r="M82" s="90"/>
    </row>
    <row r="83" s="17" customFormat="1" ht="26.25" customHeight="1" spans="1:13">
      <c r="A83" s="82">
        <f t="shared" si="1"/>
        <v>82</v>
      </c>
      <c r="B83" s="84" t="s">
        <v>834</v>
      </c>
      <c r="C83" s="83" t="s">
        <v>13</v>
      </c>
      <c r="D83" s="83" t="s">
        <v>750</v>
      </c>
      <c r="E83" s="83" t="s">
        <v>751</v>
      </c>
      <c r="F83" s="83" t="s">
        <v>752</v>
      </c>
      <c r="G83" s="83">
        <v>120</v>
      </c>
      <c r="H83" s="83" t="s">
        <v>753</v>
      </c>
      <c r="I83" s="83">
        <v>394</v>
      </c>
      <c r="J83" s="86">
        <v>37963</v>
      </c>
      <c r="K83" s="83"/>
      <c r="L83" s="90"/>
      <c r="M83" s="90"/>
    </row>
    <row r="84" s="17" customFormat="1" ht="26.25" customHeight="1" spans="1:13">
      <c r="A84" s="82">
        <f t="shared" si="1"/>
        <v>83</v>
      </c>
      <c r="B84" s="84" t="s">
        <v>835</v>
      </c>
      <c r="C84" s="83" t="s">
        <v>13</v>
      </c>
      <c r="D84" s="83" t="s">
        <v>750</v>
      </c>
      <c r="E84" s="83" t="s">
        <v>751</v>
      </c>
      <c r="F84" s="83" t="s">
        <v>752</v>
      </c>
      <c r="G84" s="83">
        <v>120</v>
      </c>
      <c r="H84" s="83" t="s">
        <v>753</v>
      </c>
      <c r="I84" s="83">
        <v>420</v>
      </c>
      <c r="J84" s="86">
        <v>37963</v>
      </c>
      <c r="K84" s="83"/>
      <c r="L84" s="90"/>
      <c r="M84" s="90"/>
    </row>
    <row r="85" ht="26.25" customHeight="1" spans="1:13">
      <c r="A85" s="82">
        <f t="shared" si="1"/>
        <v>84</v>
      </c>
      <c r="B85" s="84" t="s">
        <v>836</v>
      </c>
      <c r="C85" s="83" t="s">
        <v>13</v>
      </c>
      <c r="D85" s="83" t="s">
        <v>750</v>
      </c>
      <c r="E85" s="83" t="s">
        <v>751</v>
      </c>
      <c r="F85" s="83" t="s">
        <v>752</v>
      </c>
      <c r="G85" s="83">
        <v>120</v>
      </c>
      <c r="H85" s="83" t="s">
        <v>753</v>
      </c>
      <c r="I85" s="83">
        <v>138</v>
      </c>
      <c r="J85" s="86">
        <v>37963</v>
      </c>
      <c r="K85" s="83"/>
      <c r="L85" s="89"/>
      <c r="M85" s="89"/>
    </row>
    <row r="86" ht="26.25" customHeight="1" spans="1:13">
      <c r="A86" s="82">
        <f t="shared" si="1"/>
        <v>85</v>
      </c>
      <c r="B86" s="84" t="s">
        <v>837</v>
      </c>
      <c r="C86" s="83" t="s">
        <v>13</v>
      </c>
      <c r="D86" s="83" t="s">
        <v>750</v>
      </c>
      <c r="E86" s="83" t="s">
        <v>751</v>
      </c>
      <c r="F86" s="83" t="s">
        <v>752</v>
      </c>
      <c r="G86" s="83">
        <v>120</v>
      </c>
      <c r="H86" s="83" t="s">
        <v>753</v>
      </c>
      <c r="I86" s="83">
        <v>408</v>
      </c>
      <c r="J86" s="86">
        <v>37963</v>
      </c>
      <c r="K86" s="83"/>
      <c r="L86" s="89"/>
      <c r="M86" s="89"/>
    </row>
    <row r="87" ht="26.25" customHeight="1" spans="1:13">
      <c r="A87" s="82">
        <f t="shared" si="1"/>
        <v>86</v>
      </c>
      <c r="B87" s="84" t="s">
        <v>838</v>
      </c>
      <c r="C87" s="83" t="s">
        <v>13</v>
      </c>
      <c r="D87" s="83" t="s">
        <v>750</v>
      </c>
      <c r="E87" s="83" t="s">
        <v>751</v>
      </c>
      <c r="F87" s="83" t="s">
        <v>752</v>
      </c>
      <c r="G87" s="83">
        <v>120</v>
      </c>
      <c r="H87" s="83" t="s">
        <v>753</v>
      </c>
      <c r="I87" s="83">
        <v>384</v>
      </c>
      <c r="J87" s="86">
        <v>37963</v>
      </c>
      <c r="K87" s="83"/>
      <c r="L87" s="89"/>
      <c r="M87" s="89"/>
    </row>
    <row r="88" ht="26.25" customHeight="1" spans="1:13">
      <c r="A88" s="82">
        <f t="shared" si="1"/>
        <v>87</v>
      </c>
      <c r="B88" s="84" t="s">
        <v>839</v>
      </c>
      <c r="C88" s="83" t="s">
        <v>13</v>
      </c>
      <c r="D88" s="83" t="s">
        <v>750</v>
      </c>
      <c r="E88" s="83" t="s">
        <v>751</v>
      </c>
      <c r="F88" s="83" t="s">
        <v>752</v>
      </c>
      <c r="G88" s="83">
        <v>120</v>
      </c>
      <c r="H88" s="83" t="s">
        <v>753</v>
      </c>
      <c r="I88" s="83">
        <v>228</v>
      </c>
      <c r="J88" s="86">
        <v>37963</v>
      </c>
      <c r="K88" s="83"/>
      <c r="L88" s="89"/>
      <c r="M88" s="89"/>
    </row>
    <row r="89" ht="26.25" customHeight="1" spans="1:13">
      <c r="A89" s="82">
        <f t="shared" si="1"/>
        <v>88</v>
      </c>
      <c r="B89" s="84" t="s">
        <v>840</v>
      </c>
      <c r="C89" s="83" t="s">
        <v>13</v>
      </c>
      <c r="D89" s="83" t="s">
        <v>750</v>
      </c>
      <c r="E89" s="83" t="s">
        <v>751</v>
      </c>
      <c r="F89" s="83" t="s">
        <v>752</v>
      </c>
      <c r="G89" s="83">
        <v>120</v>
      </c>
      <c r="H89" s="83" t="s">
        <v>753</v>
      </c>
      <c r="I89" s="83">
        <f>216-70</f>
        <v>146</v>
      </c>
      <c r="J89" s="86">
        <v>37963</v>
      </c>
      <c r="K89" s="83"/>
      <c r="L89" s="89"/>
      <c r="M89" s="89"/>
    </row>
    <row r="90" ht="26.25" customHeight="1" spans="1:13">
      <c r="A90" s="82">
        <f t="shared" si="1"/>
        <v>89</v>
      </c>
      <c r="B90" s="84" t="s">
        <v>841</v>
      </c>
      <c r="C90" s="83" t="s">
        <v>13</v>
      </c>
      <c r="D90" s="83" t="s">
        <v>750</v>
      </c>
      <c r="E90" s="83" t="s">
        <v>751</v>
      </c>
      <c r="F90" s="83" t="s">
        <v>752</v>
      </c>
      <c r="G90" s="83">
        <v>120</v>
      </c>
      <c r="H90" s="83" t="s">
        <v>753</v>
      </c>
      <c r="I90" s="85">
        <v>204</v>
      </c>
      <c r="J90" s="86">
        <v>37963</v>
      </c>
      <c r="K90" s="83"/>
      <c r="L90" s="89"/>
      <c r="M90" s="89"/>
    </row>
    <row r="91" ht="26.25" customHeight="1" spans="1:13">
      <c r="A91" s="82">
        <f t="shared" si="1"/>
        <v>90</v>
      </c>
      <c r="B91" s="84" t="s">
        <v>842</v>
      </c>
      <c r="C91" s="83" t="s">
        <v>13</v>
      </c>
      <c r="D91" s="83" t="s">
        <v>750</v>
      </c>
      <c r="E91" s="83" t="s">
        <v>751</v>
      </c>
      <c r="F91" s="83" t="s">
        <v>752</v>
      </c>
      <c r="G91" s="83">
        <v>120</v>
      </c>
      <c r="H91" s="83" t="s">
        <v>753</v>
      </c>
      <c r="I91" s="91">
        <v>615</v>
      </c>
      <c r="J91" s="86">
        <v>37963</v>
      </c>
      <c r="K91" s="83"/>
      <c r="L91" s="89"/>
      <c r="M91" s="89"/>
    </row>
    <row r="92" ht="26.25" customHeight="1" spans="1:13">
      <c r="A92" s="82">
        <f t="shared" si="1"/>
        <v>91</v>
      </c>
      <c r="B92" s="84" t="s">
        <v>843</v>
      </c>
      <c r="C92" s="83" t="s">
        <v>13</v>
      </c>
      <c r="D92" s="83" t="s">
        <v>750</v>
      </c>
      <c r="E92" s="83" t="s">
        <v>751</v>
      </c>
      <c r="F92" s="83" t="s">
        <v>752</v>
      </c>
      <c r="G92" s="83">
        <v>120</v>
      </c>
      <c r="H92" s="83" t="s">
        <v>753</v>
      </c>
      <c r="I92" s="85">
        <v>416</v>
      </c>
      <c r="J92" s="86">
        <v>37963</v>
      </c>
      <c r="K92" s="83"/>
      <c r="L92" s="89"/>
      <c r="M92" s="89"/>
    </row>
    <row r="93" ht="26.25" customHeight="1" spans="1:13">
      <c r="A93" s="82">
        <f t="shared" si="1"/>
        <v>92</v>
      </c>
      <c r="B93" s="84" t="s">
        <v>844</v>
      </c>
      <c r="C93" s="83" t="s">
        <v>13</v>
      </c>
      <c r="D93" s="83" t="s">
        <v>750</v>
      </c>
      <c r="E93" s="83" t="s">
        <v>751</v>
      </c>
      <c r="F93" s="83" t="s">
        <v>752</v>
      </c>
      <c r="G93" s="83">
        <v>120</v>
      </c>
      <c r="H93" s="83" t="s">
        <v>753</v>
      </c>
      <c r="I93" s="85">
        <v>198</v>
      </c>
      <c r="J93" s="86">
        <v>37963</v>
      </c>
      <c r="K93" s="83"/>
      <c r="L93" s="89"/>
      <c r="M93" s="89"/>
    </row>
    <row r="94" ht="26.25" customHeight="1" spans="1:13">
      <c r="A94" s="82">
        <f t="shared" si="1"/>
        <v>93</v>
      </c>
      <c r="B94" s="84" t="s">
        <v>845</v>
      </c>
      <c r="C94" s="83" t="s">
        <v>13</v>
      </c>
      <c r="D94" s="83" t="s">
        <v>750</v>
      </c>
      <c r="E94" s="83" t="s">
        <v>751</v>
      </c>
      <c r="F94" s="83" t="s">
        <v>752</v>
      </c>
      <c r="G94" s="83">
        <v>120</v>
      </c>
      <c r="H94" s="83" t="s">
        <v>753</v>
      </c>
      <c r="I94" s="85">
        <v>158</v>
      </c>
      <c r="J94" s="86">
        <v>37963</v>
      </c>
      <c r="K94" s="83"/>
      <c r="L94" s="89"/>
      <c r="M94" s="89"/>
    </row>
    <row r="95" ht="26.25" customHeight="1" spans="1:13">
      <c r="A95" s="82">
        <f t="shared" si="1"/>
        <v>94</v>
      </c>
      <c r="B95" s="84" t="s">
        <v>846</v>
      </c>
      <c r="C95" s="83" t="s">
        <v>13</v>
      </c>
      <c r="D95" s="83" t="s">
        <v>750</v>
      </c>
      <c r="E95" s="83" t="s">
        <v>751</v>
      </c>
      <c r="F95" s="83" t="s">
        <v>752</v>
      </c>
      <c r="G95" s="83">
        <v>120</v>
      </c>
      <c r="H95" s="83" t="s">
        <v>753</v>
      </c>
      <c r="I95" s="85">
        <v>316</v>
      </c>
      <c r="J95" s="86">
        <v>37963</v>
      </c>
      <c r="K95" s="83"/>
      <c r="L95" s="89"/>
      <c r="M95" s="89"/>
    </row>
    <row r="96" ht="26.25" customHeight="1" spans="1:13">
      <c r="A96" s="82">
        <f t="shared" si="1"/>
        <v>95</v>
      </c>
      <c r="B96" s="84" t="s">
        <v>847</v>
      </c>
      <c r="C96" s="83" t="s">
        <v>13</v>
      </c>
      <c r="D96" s="83" t="s">
        <v>750</v>
      </c>
      <c r="E96" s="83" t="s">
        <v>751</v>
      </c>
      <c r="F96" s="83" t="s">
        <v>752</v>
      </c>
      <c r="G96" s="83">
        <v>120</v>
      </c>
      <c r="H96" s="83" t="s">
        <v>753</v>
      </c>
      <c r="I96" s="85">
        <v>380</v>
      </c>
      <c r="J96" s="86">
        <v>37963</v>
      </c>
      <c r="K96" s="83"/>
      <c r="L96" s="89"/>
      <c r="M96" s="89"/>
    </row>
    <row r="97" ht="26.25" customHeight="1" spans="1:13">
      <c r="A97" s="82">
        <f t="shared" si="1"/>
        <v>96</v>
      </c>
      <c r="B97" s="84" t="s">
        <v>848</v>
      </c>
      <c r="C97" s="83" t="s">
        <v>13</v>
      </c>
      <c r="D97" s="83" t="s">
        <v>750</v>
      </c>
      <c r="E97" s="83" t="s">
        <v>751</v>
      </c>
      <c r="F97" s="83" t="s">
        <v>752</v>
      </c>
      <c r="G97" s="83">
        <v>120</v>
      </c>
      <c r="H97" s="83" t="s">
        <v>753</v>
      </c>
      <c r="I97" s="85">
        <v>258</v>
      </c>
      <c r="J97" s="86">
        <v>37963</v>
      </c>
      <c r="K97" s="83"/>
      <c r="L97" s="89"/>
      <c r="M97" s="89"/>
    </row>
    <row r="98" ht="26.25" customHeight="1" spans="1:13">
      <c r="A98" s="82">
        <f t="shared" si="1"/>
        <v>97</v>
      </c>
      <c r="B98" s="84" t="s">
        <v>849</v>
      </c>
      <c r="C98" s="83" t="s">
        <v>13</v>
      </c>
      <c r="D98" s="83" t="s">
        <v>750</v>
      </c>
      <c r="E98" s="83" t="s">
        <v>751</v>
      </c>
      <c r="F98" s="83" t="s">
        <v>752</v>
      </c>
      <c r="G98" s="83">
        <v>120</v>
      </c>
      <c r="H98" s="83" t="s">
        <v>753</v>
      </c>
      <c r="I98" s="85">
        <v>100</v>
      </c>
      <c r="J98" s="86">
        <v>37963</v>
      </c>
      <c r="K98" s="83"/>
      <c r="L98" s="89"/>
      <c r="M98" s="89"/>
    </row>
    <row r="99" ht="26.25" customHeight="1" spans="1:13">
      <c r="A99" s="82">
        <f t="shared" si="1"/>
        <v>98</v>
      </c>
      <c r="B99" s="84" t="s">
        <v>850</v>
      </c>
      <c r="C99" s="83" t="s">
        <v>13</v>
      </c>
      <c r="D99" s="83" t="s">
        <v>750</v>
      </c>
      <c r="E99" s="83" t="s">
        <v>751</v>
      </c>
      <c r="F99" s="83" t="s">
        <v>752</v>
      </c>
      <c r="G99" s="83">
        <v>120</v>
      </c>
      <c r="H99" s="83" t="s">
        <v>753</v>
      </c>
      <c r="I99" s="85">
        <v>208</v>
      </c>
      <c r="J99" s="86">
        <v>37963</v>
      </c>
      <c r="K99" s="83"/>
      <c r="L99" s="89"/>
      <c r="M99" s="89"/>
    </row>
    <row r="100" ht="26.25" customHeight="1" spans="1:13">
      <c r="A100" s="82">
        <f t="shared" si="1"/>
        <v>99</v>
      </c>
      <c r="B100" s="84" t="s">
        <v>851</v>
      </c>
      <c r="C100" s="83" t="s">
        <v>13</v>
      </c>
      <c r="D100" s="83" t="s">
        <v>750</v>
      </c>
      <c r="E100" s="83" t="s">
        <v>751</v>
      </c>
      <c r="F100" s="83" t="s">
        <v>752</v>
      </c>
      <c r="G100" s="83">
        <v>120</v>
      </c>
      <c r="H100" s="83" t="s">
        <v>753</v>
      </c>
      <c r="I100" s="85">
        <v>282</v>
      </c>
      <c r="J100" s="86">
        <v>37963</v>
      </c>
      <c r="K100" s="83"/>
      <c r="L100" s="89"/>
      <c r="M100" s="89"/>
    </row>
    <row r="101" ht="26.25" customHeight="1" spans="1:13">
      <c r="A101" s="82">
        <f t="shared" si="1"/>
        <v>100</v>
      </c>
      <c r="B101" s="84" t="s">
        <v>852</v>
      </c>
      <c r="C101" s="83" t="s">
        <v>13</v>
      </c>
      <c r="D101" s="83" t="s">
        <v>750</v>
      </c>
      <c r="E101" s="83" t="s">
        <v>751</v>
      </c>
      <c r="F101" s="83" t="s">
        <v>752</v>
      </c>
      <c r="G101" s="83">
        <v>120</v>
      </c>
      <c r="H101" s="83" t="s">
        <v>753</v>
      </c>
      <c r="I101" s="85">
        <v>12</v>
      </c>
      <c r="J101" s="86">
        <v>37963</v>
      </c>
      <c r="K101" s="83"/>
      <c r="L101" s="89"/>
      <c r="M101" s="89"/>
    </row>
    <row r="102" ht="26.25" customHeight="1" spans="1:13">
      <c r="A102" s="82">
        <f t="shared" si="1"/>
        <v>101</v>
      </c>
      <c r="B102" s="84" t="s">
        <v>853</v>
      </c>
      <c r="C102" s="83" t="s">
        <v>13</v>
      </c>
      <c r="D102" s="83" t="s">
        <v>750</v>
      </c>
      <c r="E102" s="83" t="s">
        <v>751</v>
      </c>
      <c r="F102" s="83" t="s">
        <v>752</v>
      </c>
      <c r="G102" s="83">
        <v>120</v>
      </c>
      <c r="H102" s="83" t="s">
        <v>753</v>
      </c>
      <c r="I102" s="85">
        <v>8</v>
      </c>
      <c r="J102" s="86">
        <v>37963</v>
      </c>
      <c r="K102" s="83"/>
      <c r="L102" s="89"/>
      <c r="M102" s="89"/>
    </row>
    <row r="103" ht="26.25" customHeight="1" spans="1:13">
      <c r="A103" s="82">
        <f t="shared" si="1"/>
        <v>102</v>
      </c>
      <c r="B103" s="84" t="s">
        <v>854</v>
      </c>
      <c r="C103" s="83" t="s">
        <v>13</v>
      </c>
      <c r="D103" s="83" t="s">
        <v>750</v>
      </c>
      <c r="E103" s="83" t="s">
        <v>751</v>
      </c>
      <c r="F103" s="83" t="s">
        <v>752</v>
      </c>
      <c r="G103" s="83">
        <v>120</v>
      </c>
      <c r="H103" s="83" t="s">
        <v>753</v>
      </c>
      <c r="I103" s="85">
        <v>12</v>
      </c>
      <c r="J103" s="86">
        <v>37963</v>
      </c>
      <c r="K103" s="83"/>
      <c r="L103" s="89"/>
      <c r="M103" s="89"/>
    </row>
    <row r="104" ht="26.25" customHeight="1" spans="1:13">
      <c r="A104" s="82">
        <f t="shared" si="1"/>
        <v>103</v>
      </c>
      <c r="B104" s="84" t="s">
        <v>855</v>
      </c>
      <c r="C104" s="83" t="s">
        <v>13</v>
      </c>
      <c r="D104" s="83" t="s">
        <v>750</v>
      </c>
      <c r="E104" s="83" t="s">
        <v>751</v>
      </c>
      <c r="F104" s="83" t="s">
        <v>752</v>
      </c>
      <c r="G104" s="83">
        <v>120</v>
      </c>
      <c r="H104" s="83" t="s">
        <v>753</v>
      </c>
      <c r="I104" s="85">
        <v>12</v>
      </c>
      <c r="J104" s="86">
        <v>37963</v>
      </c>
      <c r="K104" s="83"/>
      <c r="L104" s="89"/>
      <c r="M104" s="89"/>
    </row>
    <row r="105" ht="26.25" customHeight="1" spans="1:13">
      <c r="A105" s="82">
        <f t="shared" si="1"/>
        <v>104</v>
      </c>
      <c r="B105" s="84" t="s">
        <v>856</v>
      </c>
      <c r="C105" s="83" t="s">
        <v>13</v>
      </c>
      <c r="D105" s="83" t="s">
        <v>750</v>
      </c>
      <c r="E105" s="83" t="s">
        <v>751</v>
      </c>
      <c r="F105" s="83" t="s">
        <v>752</v>
      </c>
      <c r="G105" s="83">
        <v>120</v>
      </c>
      <c r="H105" s="83" t="s">
        <v>753</v>
      </c>
      <c r="I105" s="85">
        <v>40</v>
      </c>
      <c r="J105" s="86">
        <v>37963</v>
      </c>
      <c r="K105" s="83"/>
      <c r="L105" s="89"/>
      <c r="M105" s="89"/>
    </row>
    <row r="106" ht="26.25" customHeight="1" spans="1:13">
      <c r="A106" s="82">
        <f t="shared" si="1"/>
        <v>105</v>
      </c>
      <c r="B106" s="84" t="s">
        <v>857</v>
      </c>
      <c r="C106" s="83" t="s">
        <v>13</v>
      </c>
      <c r="D106" s="83" t="s">
        <v>750</v>
      </c>
      <c r="E106" s="83" t="s">
        <v>751</v>
      </c>
      <c r="F106" s="83" t="s">
        <v>752</v>
      </c>
      <c r="G106" s="83">
        <v>120</v>
      </c>
      <c r="H106" s="83" t="s">
        <v>753</v>
      </c>
      <c r="I106" s="85">
        <v>138</v>
      </c>
      <c r="J106" s="86">
        <v>37963</v>
      </c>
      <c r="K106" s="83"/>
      <c r="L106" s="89"/>
      <c r="M106" s="89"/>
    </row>
    <row r="107" ht="26.25" customHeight="1" spans="1:13">
      <c r="A107" s="82">
        <f t="shared" si="1"/>
        <v>106</v>
      </c>
      <c r="B107" s="84" t="s">
        <v>858</v>
      </c>
      <c r="C107" s="83" t="s">
        <v>13</v>
      </c>
      <c r="D107" s="83" t="s">
        <v>750</v>
      </c>
      <c r="E107" s="83" t="s">
        <v>751</v>
      </c>
      <c r="F107" s="83" t="s">
        <v>752</v>
      </c>
      <c r="G107" s="83">
        <v>120</v>
      </c>
      <c r="H107" s="83" t="s">
        <v>753</v>
      </c>
      <c r="I107" s="85">
        <v>88</v>
      </c>
      <c r="J107" s="86">
        <v>37963</v>
      </c>
      <c r="K107" s="83"/>
      <c r="L107" s="89"/>
      <c r="M107" s="89"/>
    </row>
    <row r="108" ht="26.25" customHeight="1" spans="1:13">
      <c r="A108" s="82">
        <f t="shared" si="1"/>
        <v>107</v>
      </c>
      <c r="B108" s="84" t="s">
        <v>859</v>
      </c>
      <c r="C108" s="83" t="s">
        <v>13</v>
      </c>
      <c r="D108" s="83" t="s">
        <v>750</v>
      </c>
      <c r="E108" s="83" t="s">
        <v>751</v>
      </c>
      <c r="F108" s="83" t="s">
        <v>752</v>
      </c>
      <c r="G108" s="83">
        <v>120</v>
      </c>
      <c r="H108" s="83" t="s">
        <v>753</v>
      </c>
      <c r="I108" s="85">
        <v>38</v>
      </c>
      <c r="J108" s="86">
        <v>37963</v>
      </c>
      <c r="K108" s="83"/>
      <c r="L108" s="89"/>
      <c r="M108" s="89"/>
    </row>
    <row r="109" ht="26.25" customHeight="1" spans="1:13">
      <c r="A109" s="82">
        <f t="shared" si="1"/>
        <v>108</v>
      </c>
      <c r="B109" s="84" t="s">
        <v>860</v>
      </c>
      <c r="C109" s="83" t="s">
        <v>13</v>
      </c>
      <c r="D109" s="83" t="s">
        <v>750</v>
      </c>
      <c r="E109" s="83" t="s">
        <v>751</v>
      </c>
      <c r="F109" s="83" t="s">
        <v>752</v>
      </c>
      <c r="G109" s="83">
        <v>120</v>
      </c>
      <c r="H109" s="83" t="s">
        <v>753</v>
      </c>
      <c r="I109" s="85">
        <v>52</v>
      </c>
      <c r="J109" s="86">
        <v>37963</v>
      </c>
      <c r="K109" s="83"/>
      <c r="L109" s="89"/>
      <c r="M109" s="89"/>
    </row>
    <row r="110" ht="26.25" customHeight="1" spans="1:13">
      <c r="A110" s="82">
        <f t="shared" si="1"/>
        <v>109</v>
      </c>
      <c r="B110" s="84" t="s">
        <v>861</v>
      </c>
      <c r="C110" s="83" t="s">
        <v>13</v>
      </c>
      <c r="D110" s="83" t="s">
        <v>750</v>
      </c>
      <c r="E110" s="83" t="s">
        <v>751</v>
      </c>
      <c r="F110" s="83" t="s">
        <v>752</v>
      </c>
      <c r="G110" s="83">
        <v>120</v>
      </c>
      <c r="H110" s="83" t="s">
        <v>753</v>
      </c>
      <c r="I110" s="85">
        <v>12</v>
      </c>
      <c r="J110" s="86">
        <v>37963</v>
      </c>
      <c r="K110" s="83"/>
      <c r="L110" s="89"/>
      <c r="M110" s="89"/>
    </row>
    <row r="111" ht="26.25" customHeight="1" spans="1:13">
      <c r="A111" s="82">
        <f t="shared" si="1"/>
        <v>110</v>
      </c>
      <c r="B111" s="84" t="s">
        <v>862</v>
      </c>
      <c r="C111" s="83" t="s">
        <v>13</v>
      </c>
      <c r="D111" s="83" t="s">
        <v>750</v>
      </c>
      <c r="E111" s="83" t="s">
        <v>751</v>
      </c>
      <c r="F111" s="83" t="s">
        <v>752</v>
      </c>
      <c r="G111" s="83">
        <v>120</v>
      </c>
      <c r="H111" s="83" t="s">
        <v>753</v>
      </c>
      <c r="I111" s="85">
        <v>284</v>
      </c>
      <c r="J111" s="86">
        <v>37963</v>
      </c>
      <c r="K111" s="83"/>
      <c r="L111" s="89"/>
      <c r="M111" s="89"/>
    </row>
    <row r="112" ht="26.25" customHeight="1" spans="1:13">
      <c r="A112" s="82">
        <f t="shared" si="1"/>
        <v>111</v>
      </c>
      <c r="B112" s="84" t="s">
        <v>863</v>
      </c>
      <c r="C112" s="83" t="s">
        <v>13</v>
      </c>
      <c r="D112" s="83" t="s">
        <v>750</v>
      </c>
      <c r="E112" s="83" t="s">
        <v>751</v>
      </c>
      <c r="F112" s="83" t="s">
        <v>752</v>
      </c>
      <c r="G112" s="83">
        <v>120</v>
      </c>
      <c r="H112" s="83" t="s">
        <v>753</v>
      </c>
      <c r="I112" s="85">
        <v>362</v>
      </c>
      <c r="J112" s="86">
        <v>37963</v>
      </c>
      <c r="K112" s="83"/>
      <c r="L112" s="89"/>
      <c r="M112" s="89"/>
    </row>
    <row r="113" ht="26.25" customHeight="1" spans="1:13">
      <c r="A113" s="82">
        <f t="shared" si="1"/>
        <v>112</v>
      </c>
      <c r="B113" s="84" t="s">
        <v>864</v>
      </c>
      <c r="C113" s="83" t="s">
        <v>13</v>
      </c>
      <c r="D113" s="83" t="s">
        <v>750</v>
      </c>
      <c r="E113" s="83" t="s">
        <v>751</v>
      </c>
      <c r="F113" s="83" t="s">
        <v>752</v>
      </c>
      <c r="G113" s="83">
        <v>120</v>
      </c>
      <c r="H113" s="83" t="s">
        <v>753</v>
      </c>
      <c r="I113" s="85">
        <v>16</v>
      </c>
      <c r="J113" s="86">
        <v>37963</v>
      </c>
      <c r="K113" s="83"/>
      <c r="L113" s="89"/>
      <c r="M113" s="89"/>
    </row>
    <row r="114" ht="26.25" customHeight="1" spans="1:13">
      <c r="A114" s="82">
        <f t="shared" si="1"/>
        <v>113</v>
      </c>
      <c r="B114" s="84" t="s">
        <v>865</v>
      </c>
      <c r="C114" s="83" t="s">
        <v>13</v>
      </c>
      <c r="D114" s="83" t="s">
        <v>750</v>
      </c>
      <c r="E114" s="83" t="s">
        <v>751</v>
      </c>
      <c r="F114" s="83" t="s">
        <v>752</v>
      </c>
      <c r="G114" s="83">
        <v>120</v>
      </c>
      <c r="H114" s="83" t="s">
        <v>753</v>
      </c>
      <c r="I114" s="85">
        <v>12</v>
      </c>
      <c r="J114" s="86">
        <v>37963</v>
      </c>
      <c r="K114" s="83"/>
      <c r="L114" s="89"/>
      <c r="M114" s="89"/>
    </row>
    <row r="115" ht="26.25" customHeight="1" spans="1:13">
      <c r="A115" s="82">
        <f t="shared" si="1"/>
        <v>114</v>
      </c>
      <c r="B115" s="84" t="s">
        <v>866</v>
      </c>
      <c r="C115" s="83" t="s">
        <v>13</v>
      </c>
      <c r="D115" s="83" t="s">
        <v>750</v>
      </c>
      <c r="E115" s="83" t="s">
        <v>751</v>
      </c>
      <c r="F115" s="83" t="s">
        <v>752</v>
      </c>
      <c r="G115" s="83">
        <v>120</v>
      </c>
      <c r="H115" s="83" t="s">
        <v>753</v>
      </c>
      <c r="I115" s="85">
        <v>112</v>
      </c>
      <c r="J115" s="86">
        <v>37963</v>
      </c>
      <c r="K115" s="83"/>
      <c r="L115" s="89"/>
      <c r="M115" s="89"/>
    </row>
    <row r="116" ht="26.25" customHeight="1" spans="1:13">
      <c r="A116" s="82">
        <f t="shared" si="1"/>
        <v>115</v>
      </c>
      <c r="B116" s="84" t="s">
        <v>867</v>
      </c>
      <c r="C116" s="83" t="s">
        <v>13</v>
      </c>
      <c r="D116" s="83" t="s">
        <v>750</v>
      </c>
      <c r="E116" s="83" t="s">
        <v>751</v>
      </c>
      <c r="F116" s="83" t="s">
        <v>752</v>
      </c>
      <c r="G116" s="83">
        <v>120</v>
      </c>
      <c r="H116" s="83" t="s">
        <v>753</v>
      </c>
      <c r="I116" s="85">
        <v>40</v>
      </c>
      <c r="J116" s="86">
        <v>37963</v>
      </c>
      <c r="K116" s="83"/>
      <c r="L116" s="89"/>
      <c r="M116" s="89"/>
    </row>
    <row r="117" ht="26.25" customHeight="1" spans="1:13">
      <c r="A117" s="82">
        <f t="shared" si="1"/>
        <v>116</v>
      </c>
      <c r="B117" s="84" t="s">
        <v>868</v>
      </c>
      <c r="C117" s="83" t="s">
        <v>13</v>
      </c>
      <c r="D117" s="83" t="s">
        <v>750</v>
      </c>
      <c r="E117" s="83" t="s">
        <v>751</v>
      </c>
      <c r="F117" s="83" t="s">
        <v>752</v>
      </c>
      <c r="G117" s="83">
        <v>120</v>
      </c>
      <c r="H117" s="83" t="s">
        <v>753</v>
      </c>
      <c r="I117" s="85">
        <v>12</v>
      </c>
      <c r="J117" s="86">
        <v>37963</v>
      </c>
      <c r="K117" s="83"/>
      <c r="L117" s="89"/>
      <c r="M117" s="89"/>
    </row>
    <row r="118" ht="26.25" customHeight="1" spans="1:13">
      <c r="A118" s="82">
        <f t="shared" si="1"/>
        <v>117</v>
      </c>
      <c r="B118" s="84" t="s">
        <v>869</v>
      </c>
      <c r="C118" s="83" t="s">
        <v>13</v>
      </c>
      <c r="D118" s="83" t="s">
        <v>750</v>
      </c>
      <c r="E118" s="83" t="s">
        <v>751</v>
      </c>
      <c r="F118" s="83" t="s">
        <v>752</v>
      </c>
      <c r="G118" s="83">
        <v>120</v>
      </c>
      <c r="H118" s="83" t="s">
        <v>753</v>
      </c>
      <c r="I118" s="85">
        <v>12</v>
      </c>
      <c r="J118" s="86">
        <v>37963</v>
      </c>
      <c r="K118" s="83"/>
      <c r="L118" s="89"/>
      <c r="M118" s="89"/>
    </row>
    <row r="119" ht="26.25" customHeight="1" spans="1:13">
      <c r="A119" s="82">
        <f t="shared" si="1"/>
        <v>118</v>
      </c>
      <c r="B119" s="84" t="s">
        <v>870</v>
      </c>
      <c r="C119" s="83" t="s">
        <v>13</v>
      </c>
      <c r="D119" s="83" t="s">
        <v>750</v>
      </c>
      <c r="E119" s="83" t="s">
        <v>751</v>
      </c>
      <c r="F119" s="83" t="s">
        <v>752</v>
      </c>
      <c r="G119" s="83">
        <v>120</v>
      </c>
      <c r="H119" s="83" t="s">
        <v>753</v>
      </c>
      <c r="I119" s="85">
        <v>196</v>
      </c>
      <c r="J119" s="86">
        <v>37963</v>
      </c>
      <c r="K119" s="83"/>
      <c r="L119" s="89"/>
      <c r="M119" s="89"/>
    </row>
    <row r="120" ht="26.25" customHeight="1" spans="1:13">
      <c r="A120" s="82">
        <f t="shared" si="1"/>
        <v>119</v>
      </c>
      <c r="B120" s="84" t="s">
        <v>871</v>
      </c>
      <c r="C120" s="83" t="s">
        <v>13</v>
      </c>
      <c r="D120" s="83" t="s">
        <v>750</v>
      </c>
      <c r="E120" s="83" t="s">
        <v>751</v>
      </c>
      <c r="F120" s="83" t="s">
        <v>752</v>
      </c>
      <c r="G120" s="83">
        <v>120</v>
      </c>
      <c r="H120" s="83" t="s">
        <v>753</v>
      </c>
      <c r="I120" s="85">
        <v>212</v>
      </c>
      <c r="J120" s="86">
        <v>37963</v>
      </c>
      <c r="K120" s="83"/>
      <c r="L120" s="89"/>
      <c r="M120" s="89"/>
    </row>
    <row r="121" ht="26.25" customHeight="1" spans="1:13">
      <c r="A121" s="82">
        <f t="shared" si="1"/>
        <v>120</v>
      </c>
      <c r="B121" s="84" t="s">
        <v>872</v>
      </c>
      <c r="C121" s="83" t="s">
        <v>13</v>
      </c>
      <c r="D121" s="83" t="s">
        <v>750</v>
      </c>
      <c r="E121" s="83" t="s">
        <v>751</v>
      </c>
      <c r="F121" s="83" t="s">
        <v>752</v>
      </c>
      <c r="G121" s="83">
        <v>120</v>
      </c>
      <c r="H121" s="83" t="s">
        <v>753</v>
      </c>
      <c r="I121" s="85">
        <v>28</v>
      </c>
      <c r="J121" s="86">
        <v>37963</v>
      </c>
      <c r="K121" s="83"/>
      <c r="L121" s="89"/>
      <c r="M121" s="89"/>
    </row>
    <row r="122" ht="26.25" customHeight="1" spans="1:13">
      <c r="A122" s="82">
        <f t="shared" si="1"/>
        <v>121</v>
      </c>
      <c r="B122" s="84" t="s">
        <v>873</v>
      </c>
      <c r="C122" s="83" t="s">
        <v>13</v>
      </c>
      <c r="D122" s="83" t="s">
        <v>750</v>
      </c>
      <c r="E122" s="83" t="s">
        <v>751</v>
      </c>
      <c r="F122" s="83" t="s">
        <v>752</v>
      </c>
      <c r="G122" s="83">
        <v>120</v>
      </c>
      <c r="H122" s="83" t="s">
        <v>753</v>
      </c>
      <c r="I122" s="85">
        <v>226</v>
      </c>
      <c r="J122" s="86">
        <v>37963</v>
      </c>
      <c r="K122" s="83"/>
      <c r="L122" s="89"/>
      <c r="M122" s="89"/>
    </row>
    <row r="123" s="17" customFormat="1" ht="26.25" customHeight="1" spans="1:13">
      <c r="A123" s="82">
        <f t="shared" si="1"/>
        <v>122</v>
      </c>
      <c r="B123" s="84" t="s">
        <v>874</v>
      </c>
      <c r="C123" s="83" t="s">
        <v>13</v>
      </c>
      <c r="D123" s="83" t="s">
        <v>750</v>
      </c>
      <c r="E123" s="83" t="s">
        <v>751</v>
      </c>
      <c r="F123" s="83" t="s">
        <v>752</v>
      </c>
      <c r="G123" s="83">
        <v>120</v>
      </c>
      <c r="H123" s="83" t="s">
        <v>753</v>
      </c>
      <c r="I123" s="85">
        <v>120</v>
      </c>
      <c r="J123" s="86">
        <v>37963</v>
      </c>
      <c r="K123" s="83"/>
      <c r="L123" s="90"/>
      <c r="M123" s="90"/>
    </row>
    <row r="124" ht="26.25" customHeight="1" spans="1:13">
      <c r="A124" s="82">
        <f t="shared" si="1"/>
        <v>123</v>
      </c>
      <c r="B124" s="84" t="s">
        <v>875</v>
      </c>
      <c r="C124" s="83" t="s">
        <v>13</v>
      </c>
      <c r="D124" s="83" t="s">
        <v>750</v>
      </c>
      <c r="E124" s="83" t="s">
        <v>751</v>
      </c>
      <c r="F124" s="83" t="s">
        <v>752</v>
      </c>
      <c r="G124" s="83">
        <v>120</v>
      </c>
      <c r="H124" s="83" t="s">
        <v>753</v>
      </c>
      <c r="I124" s="85">
        <v>92</v>
      </c>
      <c r="J124" s="86">
        <v>37963</v>
      </c>
      <c r="K124" s="83"/>
    </row>
    <row r="125" ht="26.25" customHeight="1" spans="1:13">
      <c r="A125" s="82">
        <f t="shared" si="1"/>
        <v>124</v>
      </c>
      <c r="B125" s="84" t="s">
        <v>876</v>
      </c>
      <c r="C125" s="83" t="s">
        <v>13</v>
      </c>
      <c r="D125" s="83" t="s">
        <v>750</v>
      </c>
      <c r="E125" s="83" t="s">
        <v>751</v>
      </c>
      <c r="F125" s="83" t="s">
        <v>752</v>
      </c>
      <c r="G125" s="83">
        <v>120</v>
      </c>
      <c r="H125" s="83" t="s">
        <v>753</v>
      </c>
      <c r="I125" s="85">
        <v>16</v>
      </c>
      <c r="J125" s="86">
        <v>37963</v>
      </c>
      <c r="K125" s="83"/>
    </row>
    <row r="126" ht="26.25" customHeight="1" spans="1:13">
      <c r="A126" s="82">
        <f t="shared" si="1"/>
        <v>125</v>
      </c>
      <c r="B126" s="84" t="s">
        <v>877</v>
      </c>
      <c r="C126" s="83" t="s">
        <v>13</v>
      </c>
      <c r="D126" s="83" t="s">
        <v>750</v>
      </c>
      <c r="E126" s="83" t="s">
        <v>751</v>
      </c>
      <c r="F126" s="83" t="s">
        <v>752</v>
      </c>
      <c r="G126" s="83">
        <v>120</v>
      </c>
      <c r="H126" s="83" t="s">
        <v>753</v>
      </c>
      <c r="I126" s="85">
        <v>152</v>
      </c>
      <c r="J126" s="86">
        <v>37963</v>
      </c>
      <c r="K126" s="83"/>
    </row>
    <row r="127" ht="26.25" customHeight="1" spans="1:13">
      <c r="A127" s="82">
        <f t="shared" si="1"/>
        <v>126</v>
      </c>
      <c r="B127" s="84" t="s">
        <v>878</v>
      </c>
      <c r="C127" s="83" t="s">
        <v>13</v>
      </c>
      <c r="D127" s="83" t="s">
        <v>750</v>
      </c>
      <c r="E127" s="83" t="s">
        <v>751</v>
      </c>
      <c r="F127" s="83" t="s">
        <v>752</v>
      </c>
      <c r="G127" s="83">
        <v>120</v>
      </c>
      <c r="H127" s="83" t="s">
        <v>753</v>
      </c>
      <c r="I127" s="85">
        <v>512</v>
      </c>
      <c r="J127" s="86">
        <v>37963</v>
      </c>
      <c r="K127" s="83"/>
    </row>
    <row r="128" ht="26.25" customHeight="1" spans="1:13">
      <c r="A128" s="82">
        <f t="shared" si="1"/>
        <v>127</v>
      </c>
      <c r="B128" s="84" t="s">
        <v>879</v>
      </c>
      <c r="C128" s="83" t="s">
        <v>13</v>
      </c>
      <c r="D128" s="83" t="s">
        <v>750</v>
      </c>
      <c r="E128" s="83" t="s">
        <v>751</v>
      </c>
      <c r="F128" s="83" t="s">
        <v>752</v>
      </c>
      <c r="G128" s="83">
        <v>120</v>
      </c>
      <c r="H128" s="83" t="s">
        <v>753</v>
      </c>
      <c r="I128" s="85">
        <v>60</v>
      </c>
      <c r="J128" s="86">
        <v>37963</v>
      </c>
      <c r="K128" s="83"/>
    </row>
    <row r="129" ht="26.25" customHeight="1" spans="1:12">
      <c r="A129" s="82">
        <f t="shared" si="1"/>
        <v>128</v>
      </c>
      <c r="B129" s="84" t="s">
        <v>880</v>
      </c>
      <c r="C129" s="83" t="s">
        <v>13</v>
      </c>
      <c r="D129" s="83" t="s">
        <v>750</v>
      </c>
      <c r="E129" s="83" t="s">
        <v>751</v>
      </c>
      <c r="F129" s="83" t="s">
        <v>752</v>
      </c>
      <c r="G129" s="83">
        <v>120</v>
      </c>
      <c r="H129" s="83" t="s">
        <v>753</v>
      </c>
      <c r="I129" s="91">
        <v>1380</v>
      </c>
      <c r="J129" s="86">
        <v>37963</v>
      </c>
      <c r="K129" s="83"/>
    </row>
    <row r="130" ht="26.25" customHeight="1" spans="1:12">
      <c r="A130" s="82">
        <f t="shared" si="1"/>
        <v>129</v>
      </c>
      <c r="B130" s="84" t="s">
        <v>881</v>
      </c>
      <c r="C130" s="83" t="s">
        <v>13</v>
      </c>
      <c r="D130" s="83" t="s">
        <v>750</v>
      </c>
      <c r="E130" s="83" t="s">
        <v>751</v>
      </c>
      <c r="F130" s="83" t="s">
        <v>752</v>
      </c>
      <c r="G130" s="83">
        <v>120</v>
      </c>
      <c r="H130" s="83" t="s">
        <v>753</v>
      </c>
      <c r="I130" s="85">
        <v>176</v>
      </c>
      <c r="J130" s="86">
        <v>37963</v>
      </c>
      <c r="K130" s="83"/>
    </row>
    <row r="131" ht="26.25" customHeight="1" spans="1:12">
      <c r="A131" s="82">
        <f t="shared" si="1"/>
        <v>130</v>
      </c>
      <c r="B131" s="84" t="s">
        <v>882</v>
      </c>
      <c r="C131" s="83" t="s">
        <v>13</v>
      </c>
      <c r="D131" s="83" t="s">
        <v>750</v>
      </c>
      <c r="E131" s="83" t="s">
        <v>751</v>
      </c>
      <c r="F131" s="83" t="s">
        <v>752</v>
      </c>
      <c r="G131" s="83">
        <v>120</v>
      </c>
      <c r="H131" s="83" t="s">
        <v>753</v>
      </c>
      <c r="I131" s="85">
        <v>92</v>
      </c>
      <c r="J131" s="86">
        <v>37963</v>
      </c>
      <c r="K131" s="83"/>
    </row>
    <row r="132" ht="26.25" customHeight="1" spans="1:12">
      <c r="A132" s="82">
        <f t="shared" ref="A132:A195" si="2">ROW(B132)-1</f>
        <v>131</v>
      </c>
      <c r="B132" s="84" t="s">
        <v>883</v>
      </c>
      <c r="C132" s="83" t="s">
        <v>13</v>
      </c>
      <c r="D132" s="83" t="s">
        <v>750</v>
      </c>
      <c r="E132" s="83" t="s">
        <v>751</v>
      </c>
      <c r="F132" s="83" t="s">
        <v>752</v>
      </c>
      <c r="G132" s="83">
        <v>120</v>
      </c>
      <c r="H132" s="83" t="s">
        <v>753</v>
      </c>
      <c r="I132" s="19">
        <v>240</v>
      </c>
      <c r="J132" s="86">
        <v>37963</v>
      </c>
      <c r="K132" s="83"/>
    </row>
    <row r="133" ht="26.25" customHeight="1" spans="1:12">
      <c r="A133" s="82">
        <f t="shared" si="2"/>
        <v>132</v>
      </c>
      <c r="B133" s="84" t="s">
        <v>884</v>
      </c>
      <c r="C133" s="83" t="s">
        <v>13</v>
      </c>
      <c r="D133" s="83" t="s">
        <v>750</v>
      </c>
      <c r="E133" s="83" t="s">
        <v>751</v>
      </c>
      <c r="F133" s="83" t="s">
        <v>752</v>
      </c>
      <c r="G133" s="83">
        <v>120</v>
      </c>
      <c r="H133" s="83" t="s">
        <v>753</v>
      </c>
      <c r="I133" s="19">
        <v>324</v>
      </c>
      <c r="J133" s="86">
        <v>37963</v>
      </c>
      <c r="K133" s="83"/>
    </row>
    <row r="134" ht="26.25" customHeight="1" spans="1:12">
      <c r="A134" s="82">
        <f t="shared" si="2"/>
        <v>133</v>
      </c>
      <c r="B134" s="84" t="s">
        <v>885</v>
      </c>
      <c r="C134" s="83" t="s">
        <v>13</v>
      </c>
      <c r="D134" s="83" t="s">
        <v>750</v>
      </c>
      <c r="E134" s="83" t="s">
        <v>751</v>
      </c>
      <c r="F134" s="83" t="s">
        <v>752</v>
      </c>
      <c r="G134" s="83">
        <v>120</v>
      </c>
      <c r="H134" s="83" t="s">
        <v>753</v>
      </c>
      <c r="I134" s="85">
        <v>196</v>
      </c>
      <c r="J134" s="86">
        <v>37963</v>
      </c>
      <c r="K134" s="83"/>
    </row>
    <row r="135" ht="26.25" customHeight="1" spans="1:12">
      <c r="A135" s="82">
        <f t="shared" si="2"/>
        <v>134</v>
      </c>
      <c r="B135" s="84" t="s">
        <v>886</v>
      </c>
      <c r="C135" s="83" t="s">
        <v>13</v>
      </c>
      <c r="D135" s="83" t="s">
        <v>750</v>
      </c>
      <c r="E135" s="83" t="s">
        <v>751</v>
      </c>
      <c r="F135" s="83" t="s">
        <v>752</v>
      </c>
      <c r="G135" s="83">
        <v>120</v>
      </c>
      <c r="H135" s="83" t="s">
        <v>753</v>
      </c>
      <c r="I135" s="85">
        <v>88</v>
      </c>
      <c r="J135" s="86">
        <v>37963</v>
      </c>
      <c r="K135" s="83"/>
    </row>
    <row r="136" ht="26.25" customHeight="1" spans="1:12">
      <c r="A136" s="82">
        <f t="shared" si="2"/>
        <v>135</v>
      </c>
      <c r="B136" s="84" t="s">
        <v>887</v>
      </c>
      <c r="C136" s="83" t="s">
        <v>13</v>
      </c>
      <c r="D136" s="83" t="s">
        <v>750</v>
      </c>
      <c r="E136" s="83" t="s">
        <v>751</v>
      </c>
      <c r="F136" s="83" t="s">
        <v>752</v>
      </c>
      <c r="G136" s="83">
        <v>120</v>
      </c>
      <c r="H136" s="83" t="s">
        <v>753</v>
      </c>
      <c r="I136" s="85">
        <v>280</v>
      </c>
      <c r="J136" s="86">
        <v>37963</v>
      </c>
      <c r="K136" s="83"/>
    </row>
    <row r="137" ht="26.25" customHeight="1" spans="1:12">
      <c r="A137" s="82">
        <f t="shared" si="2"/>
        <v>136</v>
      </c>
      <c r="B137" s="84" t="s">
        <v>888</v>
      </c>
      <c r="C137" s="83" t="s">
        <v>13</v>
      </c>
      <c r="D137" s="83" t="s">
        <v>750</v>
      </c>
      <c r="E137" s="83" t="s">
        <v>751</v>
      </c>
      <c r="F137" s="83" t="s">
        <v>752</v>
      </c>
      <c r="G137" s="83">
        <v>120</v>
      </c>
      <c r="H137" s="83" t="s">
        <v>753</v>
      </c>
      <c r="I137" s="85">
        <v>226</v>
      </c>
      <c r="J137" s="86">
        <v>37963</v>
      </c>
      <c r="K137" s="83"/>
    </row>
    <row r="138" ht="26.25" customHeight="1" spans="1:12">
      <c r="A138" s="82">
        <f t="shared" si="2"/>
        <v>137</v>
      </c>
      <c r="B138" s="84" t="s">
        <v>889</v>
      </c>
      <c r="C138" s="83" t="s">
        <v>13</v>
      </c>
      <c r="D138" s="83" t="s">
        <v>750</v>
      </c>
      <c r="E138" s="83" t="s">
        <v>751</v>
      </c>
      <c r="F138" s="83" t="s">
        <v>752</v>
      </c>
      <c r="G138" s="83">
        <v>120</v>
      </c>
      <c r="H138" s="83" t="s">
        <v>753</v>
      </c>
      <c r="I138" s="85">
        <v>20</v>
      </c>
      <c r="J138" s="86">
        <v>37963</v>
      </c>
      <c r="K138" s="83"/>
    </row>
    <row r="139" ht="26.25" customHeight="1" spans="1:12">
      <c r="A139" s="82">
        <f t="shared" si="2"/>
        <v>138</v>
      </c>
      <c r="B139" s="84" t="s">
        <v>890</v>
      </c>
      <c r="C139" s="83" t="s">
        <v>13</v>
      </c>
      <c r="D139" s="83" t="s">
        <v>750</v>
      </c>
      <c r="E139" s="83" t="s">
        <v>751</v>
      </c>
      <c r="F139" s="83" t="s">
        <v>752</v>
      </c>
      <c r="G139" s="83">
        <v>120</v>
      </c>
      <c r="H139" s="83" t="s">
        <v>753</v>
      </c>
      <c r="I139" s="85">
        <v>391</v>
      </c>
      <c r="J139" s="86">
        <v>37963</v>
      </c>
      <c r="K139" s="83"/>
    </row>
    <row r="140" ht="26.25" customHeight="1" spans="1:12">
      <c r="A140" s="82">
        <f t="shared" si="2"/>
        <v>139</v>
      </c>
      <c r="B140" s="84" t="s">
        <v>891</v>
      </c>
      <c r="C140" s="83" t="s">
        <v>13</v>
      </c>
      <c r="D140" s="83" t="s">
        <v>750</v>
      </c>
      <c r="E140" s="83" t="s">
        <v>751</v>
      </c>
      <c r="F140" s="83" t="s">
        <v>752</v>
      </c>
      <c r="G140" s="83">
        <v>120</v>
      </c>
      <c r="H140" s="83" t="s">
        <v>753</v>
      </c>
      <c r="I140" s="85">
        <v>360</v>
      </c>
      <c r="J140" s="86">
        <v>37963</v>
      </c>
      <c r="K140" s="83"/>
      <c r="L140" s="36"/>
    </row>
    <row r="141" ht="26.25" customHeight="1" spans="1:12">
      <c r="A141" s="82">
        <f t="shared" si="2"/>
        <v>140</v>
      </c>
      <c r="B141" s="84" t="s">
        <v>892</v>
      </c>
      <c r="C141" s="83" t="s">
        <v>13</v>
      </c>
      <c r="D141" s="83" t="s">
        <v>750</v>
      </c>
      <c r="E141" s="83" t="s">
        <v>751</v>
      </c>
      <c r="F141" s="83" t="s">
        <v>752</v>
      </c>
      <c r="G141" s="83">
        <v>120</v>
      </c>
      <c r="H141" s="83" t="s">
        <v>753</v>
      </c>
      <c r="I141" s="85">
        <v>390</v>
      </c>
      <c r="J141" s="86">
        <v>37963</v>
      </c>
      <c r="K141" s="83"/>
    </row>
    <row r="142" s="17" customFormat="1" ht="26.25" customHeight="1" spans="1:12">
      <c r="A142" s="82">
        <f t="shared" si="2"/>
        <v>141</v>
      </c>
      <c r="B142" s="84" t="s">
        <v>893</v>
      </c>
      <c r="C142" s="83" t="s">
        <v>13</v>
      </c>
      <c r="D142" s="83" t="s">
        <v>750</v>
      </c>
      <c r="E142" s="83" t="s">
        <v>751</v>
      </c>
      <c r="F142" s="83" t="s">
        <v>752</v>
      </c>
      <c r="G142" s="83">
        <v>120</v>
      </c>
      <c r="H142" s="83" t="s">
        <v>753</v>
      </c>
      <c r="I142" s="85">
        <v>464</v>
      </c>
      <c r="J142" s="86">
        <v>37963</v>
      </c>
      <c r="K142" s="83"/>
    </row>
    <row r="143" s="17" customFormat="1" ht="26.25" customHeight="1" spans="1:12">
      <c r="A143" s="82">
        <f t="shared" si="2"/>
        <v>142</v>
      </c>
      <c r="B143" s="84" t="s">
        <v>894</v>
      </c>
      <c r="C143" s="83" t="s">
        <v>13</v>
      </c>
      <c r="D143" s="83" t="s">
        <v>750</v>
      </c>
      <c r="E143" s="83" t="s">
        <v>751</v>
      </c>
      <c r="F143" s="83" t="s">
        <v>752</v>
      </c>
      <c r="G143" s="83">
        <v>120</v>
      </c>
      <c r="H143" s="83" t="s">
        <v>753</v>
      </c>
      <c r="I143" s="85">
        <v>108</v>
      </c>
      <c r="J143" s="86">
        <v>37963</v>
      </c>
      <c r="K143" s="83"/>
    </row>
    <row r="144" s="17" customFormat="1" ht="26.25" customHeight="1" spans="1:12">
      <c r="A144" s="82">
        <f t="shared" si="2"/>
        <v>143</v>
      </c>
      <c r="B144" s="84" t="s">
        <v>895</v>
      </c>
      <c r="C144" s="83" t="s">
        <v>13</v>
      </c>
      <c r="D144" s="83" t="s">
        <v>750</v>
      </c>
      <c r="E144" s="83" t="s">
        <v>751</v>
      </c>
      <c r="F144" s="83" t="s">
        <v>752</v>
      </c>
      <c r="G144" s="83">
        <v>120</v>
      </c>
      <c r="H144" s="83" t="s">
        <v>753</v>
      </c>
      <c r="I144" s="85">
        <v>88</v>
      </c>
      <c r="J144" s="86">
        <v>37963</v>
      </c>
      <c r="K144" s="83"/>
    </row>
    <row r="145" s="17" customFormat="1" ht="26.25" customHeight="1" spans="1:11">
      <c r="A145" s="82">
        <f t="shared" si="2"/>
        <v>144</v>
      </c>
      <c r="B145" s="84" t="s">
        <v>896</v>
      </c>
      <c r="C145" s="83" t="s">
        <v>13</v>
      </c>
      <c r="D145" s="83" t="s">
        <v>897</v>
      </c>
      <c r="E145" s="83" t="s">
        <v>898</v>
      </c>
      <c r="F145" s="83" t="s">
        <v>899</v>
      </c>
      <c r="G145" s="83">
        <v>120</v>
      </c>
      <c r="H145" s="83" t="s">
        <v>753</v>
      </c>
      <c r="I145" s="85">
        <v>30</v>
      </c>
      <c r="J145" s="86">
        <v>37941</v>
      </c>
      <c r="K145" s="83"/>
    </row>
    <row r="146" s="17" customFormat="1" ht="26.25" customHeight="1" spans="1:11">
      <c r="A146" s="82">
        <f t="shared" si="2"/>
        <v>145</v>
      </c>
      <c r="B146" s="84" t="s">
        <v>900</v>
      </c>
      <c r="C146" s="83" t="s">
        <v>13</v>
      </c>
      <c r="D146" s="83" t="s">
        <v>897</v>
      </c>
      <c r="E146" s="83" t="s">
        <v>898</v>
      </c>
      <c r="F146" s="83" t="s">
        <v>901</v>
      </c>
      <c r="G146" s="83">
        <v>120</v>
      </c>
      <c r="H146" s="83" t="s">
        <v>753</v>
      </c>
      <c r="I146" s="85">
        <f>9*15</f>
        <v>135</v>
      </c>
      <c r="J146" s="86">
        <v>37963</v>
      </c>
      <c r="K146" s="83"/>
    </row>
    <row r="147" s="17" customFormat="1" ht="26.25" customHeight="1" spans="1:11">
      <c r="A147" s="82">
        <f t="shared" si="2"/>
        <v>146</v>
      </c>
      <c r="B147" s="84" t="s">
        <v>902</v>
      </c>
      <c r="C147" s="83" t="s">
        <v>13</v>
      </c>
      <c r="D147" s="83" t="s">
        <v>897</v>
      </c>
      <c r="E147" s="83" t="s">
        <v>898</v>
      </c>
      <c r="F147" s="83" t="s">
        <v>901</v>
      </c>
      <c r="G147" s="83">
        <v>120</v>
      </c>
      <c r="H147" s="83" t="s">
        <v>753</v>
      </c>
      <c r="I147" s="85">
        <f>32*15</f>
        <v>480</v>
      </c>
      <c r="J147" s="86">
        <v>37963</v>
      </c>
      <c r="K147" s="83"/>
    </row>
    <row r="148" s="17" customFormat="1" ht="26.25" customHeight="1" spans="1:11">
      <c r="A148" s="82">
        <f t="shared" si="2"/>
        <v>147</v>
      </c>
      <c r="B148" s="84" t="s">
        <v>903</v>
      </c>
      <c r="C148" s="83" t="s">
        <v>13</v>
      </c>
      <c r="D148" s="83" t="s">
        <v>897</v>
      </c>
      <c r="E148" s="83" t="s">
        <v>898</v>
      </c>
      <c r="F148" s="83" t="s">
        <v>901</v>
      </c>
      <c r="G148" s="83">
        <v>120</v>
      </c>
      <c r="H148" s="83" t="s">
        <v>753</v>
      </c>
      <c r="I148" s="85">
        <v>585</v>
      </c>
      <c r="J148" s="86">
        <v>37963</v>
      </c>
      <c r="K148" s="83"/>
    </row>
    <row r="149" s="17" customFormat="1" ht="26.25" customHeight="1" spans="1:11">
      <c r="A149" s="82">
        <f t="shared" si="2"/>
        <v>148</v>
      </c>
      <c r="B149" s="84" t="s">
        <v>904</v>
      </c>
      <c r="C149" s="83" t="s">
        <v>13</v>
      </c>
      <c r="D149" s="83" t="s">
        <v>897</v>
      </c>
      <c r="E149" s="83" t="s">
        <v>898</v>
      </c>
      <c r="F149" s="83" t="s">
        <v>901</v>
      </c>
      <c r="G149" s="83">
        <v>120</v>
      </c>
      <c r="H149" s="83" t="s">
        <v>753</v>
      </c>
      <c r="I149" s="85">
        <v>1310</v>
      </c>
      <c r="J149" s="86">
        <v>37963</v>
      </c>
      <c r="K149" s="83"/>
    </row>
    <row r="150" s="17" customFormat="1" ht="26.25" customHeight="1" spans="1:11">
      <c r="A150" s="82">
        <f t="shared" si="2"/>
        <v>149</v>
      </c>
      <c r="B150" s="84" t="s">
        <v>905</v>
      </c>
      <c r="C150" s="83" t="s">
        <v>13</v>
      </c>
      <c r="D150" s="83" t="s">
        <v>897</v>
      </c>
      <c r="E150" s="83" t="s">
        <v>898</v>
      </c>
      <c r="F150" s="83" t="s">
        <v>901</v>
      </c>
      <c r="G150" s="83">
        <v>120</v>
      </c>
      <c r="H150" s="83" t="s">
        <v>753</v>
      </c>
      <c r="I150" s="85">
        <v>390</v>
      </c>
      <c r="J150" s="86">
        <v>37963</v>
      </c>
      <c r="K150" s="83"/>
    </row>
    <row r="151" s="17" customFormat="1" ht="26.25" customHeight="1" spans="1:11">
      <c r="A151" s="82">
        <f t="shared" si="2"/>
        <v>150</v>
      </c>
      <c r="B151" s="84" t="s">
        <v>906</v>
      </c>
      <c r="C151" s="83" t="s">
        <v>13</v>
      </c>
      <c r="D151" s="83" t="s">
        <v>897</v>
      </c>
      <c r="E151" s="83" t="s">
        <v>898</v>
      </c>
      <c r="F151" s="83" t="s">
        <v>901</v>
      </c>
      <c r="G151" s="83">
        <v>120</v>
      </c>
      <c r="H151" s="83" t="s">
        <v>753</v>
      </c>
      <c r="I151" s="85">
        <v>1155</v>
      </c>
      <c r="J151" s="86">
        <v>37963</v>
      </c>
      <c r="K151" s="83"/>
    </row>
    <row r="152" s="17" customFormat="1" ht="26.25" customHeight="1" spans="1:11">
      <c r="A152" s="82">
        <f t="shared" si="2"/>
        <v>151</v>
      </c>
      <c r="B152" s="84" t="s">
        <v>907</v>
      </c>
      <c r="C152" s="83" t="s">
        <v>13</v>
      </c>
      <c r="D152" s="83" t="s">
        <v>897</v>
      </c>
      <c r="E152" s="83" t="s">
        <v>898</v>
      </c>
      <c r="F152" s="83" t="s">
        <v>901</v>
      </c>
      <c r="G152" s="83">
        <v>120</v>
      </c>
      <c r="H152" s="83" t="s">
        <v>753</v>
      </c>
      <c r="I152" s="85">
        <v>1020</v>
      </c>
      <c r="J152" s="86">
        <v>37963</v>
      </c>
      <c r="K152" s="83"/>
    </row>
    <row r="153" s="17" customFormat="1" ht="26.25" customHeight="1" spans="1:11">
      <c r="A153" s="82">
        <f t="shared" si="2"/>
        <v>152</v>
      </c>
      <c r="B153" s="84" t="s">
        <v>908</v>
      </c>
      <c r="C153" s="83" t="s">
        <v>13</v>
      </c>
      <c r="D153" s="83" t="s">
        <v>897</v>
      </c>
      <c r="E153" s="83" t="s">
        <v>898</v>
      </c>
      <c r="F153" s="83" t="s">
        <v>901</v>
      </c>
      <c r="G153" s="83">
        <v>120</v>
      </c>
      <c r="H153" s="83" t="s">
        <v>753</v>
      </c>
      <c r="I153" s="85">
        <v>180</v>
      </c>
      <c r="J153" s="86">
        <v>37963</v>
      </c>
      <c r="K153" s="83"/>
    </row>
    <row r="154" s="17" customFormat="1" ht="26.25" customHeight="1" spans="1:11">
      <c r="A154" s="82">
        <f t="shared" si="2"/>
        <v>153</v>
      </c>
      <c r="B154" s="84" t="s">
        <v>909</v>
      </c>
      <c r="C154" s="83" t="s">
        <v>13</v>
      </c>
      <c r="D154" s="83" t="s">
        <v>897</v>
      </c>
      <c r="E154" s="83" t="s">
        <v>898</v>
      </c>
      <c r="F154" s="83" t="s">
        <v>901</v>
      </c>
      <c r="G154" s="83">
        <v>120</v>
      </c>
      <c r="H154" s="83" t="s">
        <v>753</v>
      </c>
      <c r="I154" s="85">
        <v>2130</v>
      </c>
      <c r="J154" s="86">
        <v>37963</v>
      </c>
      <c r="K154" s="83"/>
    </row>
    <row r="155" s="17" customFormat="1" ht="26.25" customHeight="1" spans="1:11">
      <c r="A155" s="82">
        <f t="shared" si="2"/>
        <v>154</v>
      </c>
      <c r="B155" s="84" t="s">
        <v>910</v>
      </c>
      <c r="C155" s="83" t="s">
        <v>13</v>
      </c>
      <c r="D155" s="83" t="s">
        <v>897</v>
      </c>
      <c r="E155" s="83" t="s">
        <v>898</v>
      </c>
      <c r="F155" s="83" t="s">
        <v>901</v>
      </c>
      <c r="G155" s="83">
        <v>120</v>
      </c>
      <c r="H155" s="83" t="s">
        <v>753</v>
      </c>
      <c r="I155" s="85">
        <v>180</v>
      </c>
      <c r="J155" s="86">
        <v>37963</v>
      </c>
      <c r="K155" s="83"/>
    </row>
    <row r="156" s="17" customFormat="1" ht="26.25" customHeight="1" spans="1:11">
      <c r="A156" s="82">
        <f t="shared" si="2"/>
        <v>155</v>
      </c>
      <c r="B156" s="84" t="s">
        <v>911</v>
      </c>
      <c r="C156" s="83" t="s">
        <v>13</v>
      </c>
      <c r="D156" s="83" t="s">
        <v>897</v>
      </c>
      <c r="E156" s="83" t="s">
        <v>898</v>
      </c>
      <c r="F156" s="83" t="s">
        <v>901</v>
      </c>
      <c r="G156" s="83">
        <v>120</v>
      </c>
      <c r="H156" s="83" t="s">
        <v>753</v>
      </c>
      <c r="I156" s="85">
        <v>1575</v>
      </c>
      <c r="J156" s="86">
        <v>37963</v>
      </c>
      <c r="K156" s="83"/>
    </row>
    <row r="157" s="17" customFormat="1" ht="26.25" customHeight="1" spans="1:11">
      <c r="A157" s="82">
        <f t="shared" si="2"/>
        <v>156</v>
      </c>
      <c r="B157" s="84" t="s">
        <v>912</v>
      </c>
      <c r="C157" s="83" t="s">
        <v>13</v>
      </c>
      <c r="D157" s="83" t="s">
        <v>897</v>
      </c>
      <c r="E157" s="83" t="s">
        <v>898</v>
      </c>
      <c r="F157" s="83" t="s">
        <v>901</v>
      </c>
      <c r="G157" s="83">
        <v>120</v>
      </c>
      <c r="H157" s="83" t="s">
        <v>753</v>
      </c>
      <c r="I157" s="85">
        <v>300</v>
      </c>
      <c r="J157" s="86">
        <v>37963</v>
      </c>
      <c r="K157" s="83"/>
    </row>
    <row r="158" s="17" customFormat="1" ht="26.25" customHeight="1" spans="1:11">
      <c r="A158" s="82">
        <f t="shared" si="2"/>
        <v>157</v>
      </c>
      <c r="B158" s="84" t="s">
        <v>913</v>
      </c>
      <c r="C158" s="83" t="s">
        <v>13</v>
      </c>
      <c r="D158" s="83" t="s">
        <v>897</v>
      </c>
      <c r="E158" s="83" t="s">
        <v>898</v>
      </c>
      <c r="F158" s="83" t="s">
        <v>901</v>
      </c>
      <c r="G158" s="83">
        <v>120</v>
      </c>
      <c r="H158" s="83" t="s">
        <v>753</v>
      </c>
      <c r="I158" s="85">
        <v>780</v>
      </c>
      <c r="J158" s="86">
        <v>37963</v>
      </c>
      <c r="K158" s="83"/>
    </row>
    <row r="159" s="17" customFormat="1" ht="26.25" customHeight="1" spans="1:11">
      <c r="A159" s="82">
        <f t="shared" si="2"/>
        <v>158</v>
      </c>
      <c r="B159" s="84" t="s">
        <v>914</v>
      </c>
      <c r="C159" s="83" t="s">
        <v>13</v>
      </c>
      <c r="D159" s="83" t="s">
        <v>897</v>
      </c>
      <c r="E159" s="83" t="s">
        <v>898</v>
      </c>
      <c r="F159" s="83" t="s">
        <v>901</v>
      </c>
      <c r="G159" s="83">
        <v>120</v>
      </c>
      <c r="H159" s="83" t="s">
        <v>753</v>
      </c>
      <c r="I159" s="19">
        <f>369-345</f>
        <v>24</v>
      </c>
      <c r="J159" s="86">
        <v>37963</v>
      </c>
      <c r="K159" s="83"/>
    </row>
    <row r="160" ht="26.25" customHeight="1" spans="1:11">
      <c r="A160" s="82">
        <f t="shared" si="2"/>
        <v>159</v>
      </c>
      <c r="B160" s="84" t="s">
        <v>915</v>
      </c>
      <c r="C160" s="83" t="s">
        <v>13</v>
      </c>
      <c r="D160" s="83" t="s">
        <v>897</v>
      </c>
      <c r="E160" s="83" t="s">
        <v>898</v>
      </c>
      <c r="F160" s="83" t="s">
        <v>901</v>
      </c>
      <c r="G160" s="83">
        <v>120</v>
      </c>
      <c r="H160" s="83" t="s">
        <v>753</v>
      </c>
      <c r="I160" s="19">
        <v>155</v>
      </c>
      <c r="J160" s="86">
        <v>37963</v>
      </c>
      <c r="K160" s="83"/>
    </row>
    <row r="161" ht="26.25" customHeight="1" spans="1:11">
      <c r="A161" s="82">
        <f t="shared" si="2"/>
        <v>160</v>
      </c>
      <c r="B161" s="84" t="s">
        <v>916</v>
      </c>
      <c r="C161" s="83" t="s">
        <v>13</v>
      </c>
      <c r="D161" s="83" t="s">
        <v>897</v>
      </c>
      <c r="E161" s="83" t="s">
        <v>898</v>
      </c>
      <c r="F161" s="83" t="s">
        <v>901</v>
      </c>
      <c r="G161" s="83">
        <v>120</v>
      </c>
      <c r="H161" s="83" t="s">
        <v>753</v>
      </c>
      <c r="I161" s="19">
        <v>130</v>
      </c>
      <c r="J161" s="86">
        <v>37963</v>
      </c>
      <c r="K161" s="83"/>
    </row>
    <row r="162" ht="26.25" customHeight="1" spans="1:11">
      <c r="A162" s="82">
        <f t="shared" si="2"/>
        <v>161</v>
      </c>
      <c r="B162" s="84" t="s">
        <v>917</v>
      </c>
      <c r="C162" s="83" t="s">
        <v>13</v>
      </c>
      <c r="D162" s="83" t="s">
        <v>897</v>
      </c>
      <c r="E162" s="83" t="s">
        <v>898</v>
      </c>
      <c r="F162" s="83" t="s">
        <v>901</v>
      </c>
      <c r="G162" s="83">
        <v>120</v>
      </c>
      <c r="H162" s="83" t="s">
        <v>753</v>
      </c>
      <c r="I162" s="19">
        <v>1000</v>
      </c>
      <c r="J162" s="86">
        <v>37963</v>
      </c>
      <c r="K162" s="83"/>
    </row>
    <row r="163" ht="26.25" customHeight="1" spans="1:11">
      <c r="A163" s="82">
        <f t="shared" si="2"/>
        <v>162</v>
      </c>
      <c r="B163" s="84" t="s">
        <v>918</v>
      </c>
      <c r="C163" s="83" t="s">
        <v>13</v>
      </c>
      <c r="D163" s="83" t="s">
        <v>897</v>
      </c>
      <c r="E163" s="83" t="s">
        <v>898</v>
      </c>
      <c r="F163" s="83" t="s">
        <v>901</v>
      </c>
      <c r="G163" s="83">
        <v>120</v>
      </c>
      <c r="H163" s="83" t="s">
        <v>753</v>
      </c>
      <c r="I163" s="19">
        <v>270</v>
      </c>
      <c r="J163" s="86">
        <v>37963</v>
      </c>
      <c r="K163" s="83"/>
    </row>
    <row r="164" ht="26.25" customHeight="1" spans="1:11">
      <c r="A164" s="82">
        <f t="shared" si="2"/>
        <v>163</v>
      </c>
      <c r="B164" s="84" t="s">
        <v>919</v>
      </c>
      <c r="C164" s="83" t="s">
        <v>13</v>
      </c>
      <c r="D164" s="83" t="s">
        <v>897</v>
      </c>
      <c r="E164" s="83" t="s">
        <v>898</v>
      </c>
      <c r="F164" s="83" t="s">
        <v>901</v>
      </c>
      <c r="G164" s="83">
        <v>120</v>
      </c>
      <c r="H164" s="83" t="s">
        <v>753</v>
      </c>
      <c r="I164" s="19">
        <f>840-30</f>
        <v>810</v>
      </c>
      <c r="J164" s="86">
        <v>37963</v>
      </c>
      <c r="K164" s="83"/>
    </row>
    <row r="165" ht="26.25" customHeight="1" spans="1:11">
      <c r="A165" s="82">
        <f t="shared" si="2"/>
        <v>164</v>
      </c>
      <c r="B165" s="84" t="s">
        <v>920</v>
      </c>
      <c r="C165" s="83" t="s">
        <v>13</v>
      </c>
      <c r="D165" s="83" t="s">
        <v>897</v>
      </c>
      <c r="E165" s="83" t="s">
        <v>898</v>
      </c>
      <c r="F165" s="83" t="s">
        <v>901</v>
      </c>
      <c r="G165" s="83">
        <v>120</v>
      </c>
      <c r="H165" s="83" t="s">
        <v>753</v>
      </c>
      <c r="I165" s="19">
        <v>271</v>
      </c>
      <c r="J165" s="86">
        <v>37963</v>
      </c>
      <c r="K165" s="83"/>
    </row>
    <row r="166" ht="26.25" customHeight="1" spans="1:11">
      <c r="A166" s="82">
        <f t="shared" si="2"/>
        <v>165</v>
      </c>
      <c r="B166" s="84" t="s">
        <v>921</v>
      </c>
      <c r="C166" s="83" t="s">
        <v>13</v>
      </c>
      <c r="D166" s="83" t="s">
        <v>897</v>
      </c>
      <c r="E166" s="83" t="s">
        <v>898</v>
      </c>
      <c r="F166" s="83" t="s">
        <v>901</v>
      </c>
      <c r="G166" s="83">
        <v>120</v>
      </c>
      <c r="H166" s="83" t="s">
        <v>753</v>
      </c>
      <c r="I166" s="19">
        <v>1000</v>
      </c>
      <c r="J166" s="86">
        <v>37963</v>
      </c>
      <c r="K166" s="83"/>
    </row>
    <row r="167" ht="26.25" customHeight="1" spans="1:11">
      <c r="A167" s="82">
        <f t="shared" si="2"/>
        <v>166</v>
      </c>
      <c r="B167" s="84" t="s">
        <v>922</v>
      </c>
      <c r="C167" s="83" t="s">
        <v>13</v>
      </c>
      <c r="D167" s="83" t="s">
        <v>897</v>
      </c>
      <c r="E167" s="83" t="s">
        <v>898</v>
      </c>
      <c r="F167" s="83" t="s">
        <v>901</v>
      </c>
      <c r="G167" s="83">
        <v>120</v>
      </c>
      <c r="H167" s="83" t="s">
        <v>753</v>
      </c>
      <c r="I167" s="19">
        <v>672</v>
      </c>
      <c r="J167" s="86">
        <v>37963</v>
      </c>
      <c r="K167" s="83"/>
    </row>
    <row r="168" ht="26.25" customHeight="1" spans="1:11">
      <c r="A168" s="82">
        <f t="shared" si="2"/>
        <v>167</v>
      </c>
      <c r="B168" s="84" t="s">
        <v>923</v>
      </c>
      <c r="C168" s="83" t="s">
        <v>13</v>
      </c>
      <c r="D168" s="83" t="s">
        <v>897</v>
      </c>
      <c r="E168" s="83" t="s">
        <v>898</v>
      </c>
      <c r="F168" s="83" t="s">
        <v>901</v>
      </c>
      <c r="G168" s="83">
        <v>120</v>
      </c>
      <c r="H168" s="83" t="s">
        <v>753</v>
      </c>
      <c r="I168" s="19">
        <v>1000</v>
      </c>
      <c r="J168" s="86">
        <v>37963</v>
      </c>
      <c r="K168" s="83"/>
    </row>
    <row r="169" ht="26.25" customHeight="1" spans="1:11">
      <c r="A169" s="82">
        <f t="shared" si="2"/>
        <v>168</v>
      </c>
      <c r="B169" s="84" t="s">
        <v>924</v>
      </c>
      <c r="C169" s="83" t="s">
        <v>13</v>
      </c>
      <c r="D169" s="83" t="s">
        <v>897</v>
      </c>
      <c r="E169" s="83" t="s">
        <v>898</v>
      </c>
      <c r="F169" s="83" t="s">
        <v>901</v>
      </c>
      <c r="G169" s="83">
        <v>120</v>
      </c>
      <c r="H169" s="83" t="s">
        <v>753</v>
      </c>
      <c r="I169" s="19">
        <v>224</v>
      </c>
      <c r="J169" s="86">
        <v>37963</v>
      </c>
      <c r="K169" s="83"/>
    </row>
    <row r="170" ht="26.25" customHeight="1" spans="1:11">
      <c r="A170" s="82">
        <f t="shared" si="2"/>
        <v>169</v>
      </c>
      <c r="B170" s="84" t="s">
        <v>925</v>
      </c>
      <c r="C170" s="83" t="s">
        <v>13</v>
      </c>
      <c r="D170" s="83" t="s">
        <v>897</v>
      </c>
      <c r="E170" s="83" t="s">
        <v>898</v>
      </c>
      <c r="F170" s="83" t="s">
        <v>901</v>
      </c>
      <c r="G170" s="83">
        <v>120</v>
      </c>
      <c r="H170" s="83" t="s">
        <v>753</v>
      </c>
      <c r="I170" s="19">
        <v>514</v>
      </c>
      <c r="J170" s="86">
        <v>37963</v>
      </c>
      <c r="K170" s="83"/>
    </row>
    <row r="171" ht="26.25" customHeight="1" spans="1:11">
      <c r="A171" s="82">
        <f t="shared" si="2"/>
        <v>170</v>
      </c>
      <c r="B171" s="84" t="s">
        <v>926</v>
      </c>
      <c r="C171" s="83" t="s">
        <v>13</v>
      </c>
      <c r="D171" s="83" t="s">
        <v>897</v>
      </c>
      <c r="E171" s="83" t="s">
        <v>898</v>
      </c>
      <c r="F171" s="83" t="s">
        <v>901</v>
      </c>
      <c r="G171" s="83">
        <v>120</v>
      </c>
      <c r="H171" s="83" t="s">
        <v>753</v>
      </c>
      <c r="I171" s="19">
        <v>4</v>
      </c>
      <c r="J171" s="86">
        <v>37963</v>
      </c>
      <c r="K171" s="83"/>
    </row>
    <row r="172" ht="26.25" customHeight="1" spans="1:11">
      <c r="A172" s="82">
        <f t="shared" si="2"/>
        <v>171</v>
      </c>
      <c r="B172" s="84" t="s">
        <v>927</v>
      </c>
      <c r="C172" s="83" t="s">
        <v>13</v>
      </c>
      <c r="D172" s="83" t="s">
        <v>897</v>
      </c>
      <c r="E172" s="83" t="s">
        <v>898</v>
      </c>
      <c r="F172" s="83" t="s">
        <v>901</v>
      </c>
      <c r="G172" s="83">
        <v>120</v>
      </c>
      <c r="H172" s="83" t="s">
        <v>753</v>
      </c>
      <c r="I172" s="19">
        <v>440</v>
      </c>
      <c r="J172" s="86">
        <v>37963</v>
      </c>
      <c r="K172" s="83"/>
    </row>
    <row r="173" s="17" customFormat="1" ht="26.25" customHeight="1" spans="1:11">
      <c r="A173" s="82">
        <f t="shared" si="2"/>
        <v>172</v>
      </c>
      <c r="B173" s="84" t="s">
        <v>928</v>
      </c>
      <c r="C173" s="83" t="s">
        <v>13</v>
      </c>
      <c r="D173" s="83" t="s">
        <v>897</v>
      </c>
      <c r="E173" s="83" t="s">
        <v>898</v>
      </c>
      <c r="F173" s="83" t="s">
        <v>899</v>
      </c>
      <c r="G173" s="83">
        <v>120</v>
      </c>
      <c r="H173" s="83" t="s">
        <v>753</v>
      </c>
      <c r="I173" s="19">
        <v>1000</v>
      </c>
      <c r="J173" s="86">
        <v>37963</v>
      </c>
      <c r="K173" s="83"/>
    </row>
    <row r="174" s="17" customFormat="1" ht="26.25" customHeight="1" spans="1:11">
      <c r="A174" s="82">
        <f t="shared" si="2"/>
        <v>173</v>
      </c>
      <c r="B174" s="84" t="s">
        <v>929</v>
      </c>
      <c r="C174" s="83" t="s">
        <v>13</v>
      </c>
      <c r="D174" s="83" t="s">
        <v>897</v>
      </c>
      <c r="E174" s="83" t="s">
        <v>898</v>
      </c>
      <c r="F174" s="83" t="s">
        <v>899</v>
      </c>
      <c r="G174" s="83">
        <v>120</v>
      </c>
      <c r="H174" s="83" t="s">
        <v>753</v>
      </c>
      <c r="I174" s="19">
        <v>1000</v>
      </c>
      <c r="J174" s="86">
        <v>37963</v>
      </c>
      <c r="K174" s="83"/>
    </row>
    <row r="175" s="17" customFormat="1" ht="26.25" customHeight="1" spans="1:11">
      <c r="A175" s="82">
        <f t="shared" si="2"/>
        <v>174</v>
      </c>
      <c r="B175" s="84" t="s">
        <v>930</v>
      </c>
      <c r="C175" s="83" t="s">
        <v>13</v>
      </c>
      <c r="D175" s="83" t="s">
        <v>897</v>
      </c>
      <c r="E175" s="83" t="s">
        <v>898</v>
      </c>
      <c r="F175" s="83" t="s">
        <v>899</v>
      </c>
      <c r="G175" s="83">
        <v>120</v>
      </c>
      <c r="H175" s="83" t="s">
        <v>753</v>
      </c>
      <c r="I175" s="19">
        <v>268</v>
      </c>
      <c r="J175" s="86">
        <v>37963</v>
      </c>
      <c r="K175" s="83"/>
    </row>
    <row r="176" s="17" customFormat="1" ht="26.25" customHeight="1" spans="1:11">
      <c r="A176" s="82">
        <f t="shared" si="2"/>
        <v>175</v>
      </c>
      <c r="B176" s="84" t="s">
        <v>931</v>
      </c>
      <c r="C176" s="83" t="s">
        <v>13</v>
      </c>
      <c r="D176" s="83" t="s">
        <v>897</v>
      </c>
      <c r="E176" s="83" t="s">
        <v>898</v>
      </c>
      <c r="F176" s="83" t="s">
        <v>899</v>
      </c>
      <c r="G176" s="83">
        <v>120</v>
      </c>
      <c r="H176" s="83" t="s">
        <v>753</v>
      </c>
      <c r="I176" s="19">
        <v>456</v>
      </c>
      <c r="J176" s="86">
        <v>37963</v>
      </c>
      <c r="K176" s="83"/>
    </row>
    <row r="177" s="17" customFormat="1" ht="26.25" customHeight="1" spans="1:11">
      <c r="A177" s="82">
        <f t="shared" si="2"/>
        <v>176</v>
      </c>
      <c r="B177" s="84" t="s">
        <v>932</v>
      </c>
      <c r="C177" s="83" t="s">
        <v>13</v>
      </c>
      <c r="D177" s="83" t="s">
        <v>897</v>
      </c>
      <c r="E177" s="83" t="s">
        <v>898</v>
      </c>
      <c r="F177" s="83" t="s">
        <v>899</v>
      </c>
      <c r="G177" s="83">
        <v>120</v>
      </c>
      <c r="H177" s="83" t="s">
        <v>753</v>
      </c>
      <c r="I177" s="19">
        <v>208</v>
      </c>
      <c r="J177" s="86">
        <v>37963</v>
      </c>
      <c r="K177" s="83"/>
    </row>
    <row r="178" s="17" customFormat="1" ht="26.25" customHeight="1" spans="1:11">
      <c r="A178" s="82">
        <f t="shared" si="2"/>
        <v>177</v>
      </c>
      <c r="B178" s="84" t="s">
        <v>933</v>
      </c>
      <c r="C178" s="83" t="s">
        <v>13</v>
      </c>
      <c r="D178" s="83" t="s">
        <v>897</v>
      </c>
      <c r="E178" s="83" t="s">
        <v>898</v>
      </c>
      <c r="F178" s="83" t="s">
        <v>899</v>
      </c>
      <c r="G178" s="83">
        <v>120</v>
      </c>
      <c r="H178" s="83" t="s">
        <v>753</v>
      </c>
      <c r="I178" s="19">
        <f>920-16</f>
        <v>904</v>
      </c>
      <c r="J178" s="86">
        <v>37963</v>
      </c>
      <c r="K178" s="83"/>
    </row>
    <row r="179" s="17" customFormat="1" ht="26.25" customHeight="1" spans="1:11">
      <c r="A179" s="82">
        <f t="shared" si="2"/>
        <v>178</v>
      </c>
      <c r="B179" s="84" t="s">
        <v>934</v>
      </c>
      <c r="C179" s="83" t="s">
        <v>13</v>
      </c>
      <c r="D179" s="83" t="s">
        <v>897</v>
      </c>
      <c r="E179" s="83" t="s">
        <v>898</v>
      </c>
      <c r="F179" s="83" t="s">
        <v>899</v>
      </c>
      <c r="G179" s="83">
        <v>120</v>
      </c>
      <c r="H179" s="83" t="s">
        <v>753</v>
      </c>
      <c r="I179" s="19">
        <v>356</v>
      </c>
      <c r="J179" s="86">
        <v>37963</v>
      </c>
      <c r="K179" s="83"/>
    </row>
    <row r="180" s="17" customFormat="1" ht="26.25" customHeight="1" spans="1:11">
      <c r="A180" s="82">
        <f t="shared" si="2"/>
        <v>179</v>
      </c>
      <c r="B180" s="84" t="s">
        <v>935</v>
      </c>
      <c r="C180" s="83" t="s">
        <v>13</v>
      </c>
      <c r="D180" s="83" t="s">
        <v>897</v>
      </c>
      <c r="E180" s="83" t="s">
        <v>898</v>
      </c>
      <c r="F180" s="83" t="s">
        <v>899</v>
      </c>
      <c r="G180" s="83">
        <v>120</v>
      </c>
      <c r="H180" s="83" t="s">
        <v>753</v>
      </c>
      <c r="I180" s="19">
        <f>512+88</f>
        <v>600</v>
      </c>
      <c r="J180" s="86">
        <v>37963</v>
      </c>
      <c r="K180" s="83"/>
    </row>
    <row r="181" ht="26.25" customHeight="1" spans="1:11">
      <c r="A181" s="82">
        <f t="shared" si="2"/>
        <v>180</v>
      </c>
      <c r="B181" s="84" t="s">
        <v>936</v>
      </c>
      <c r="C181" s="83" t="s">
        <v>13</v>
      </c>
      <c r="D181" s="83" t="s">
        <v>897</v>
      </c>
      <c r="E181" s="83" t="s">
        <v>898</v>
      </c>
      <c r="F181" s="83" t="s">
        <v>899</v>
      </c>
      <c r="G181" s="83">
        <v>120</v>
      </c>
      <c r="H181" s="83" t="s">
        <v>753</v>
      </c>
      <c r="I181" s="19">
        <v>320</v>
      </c>
      <c r="J181" s="86">
        <v>37963</v>
      </c>
      <c r="K181" s="83"/>
    </row>
    <row r="182" ht="26.25" customHeight="1" spans="1:11">
      <c r="A182" s="82">
        <f t="shared" si="2"/>
        <v>181</v>
      </c>
      <c r="B182" s="84" t="s">
        <v>937</v>
      </c>
      <c r="C182" s="83" t="s">
        <v>13</v>
      </c>
      <c r="D182" s="83" t="s">
        <v>897</v>
      </c>
      <c r="E182" s="83" t="s">
        <v>898</v>
      </c>
      <c r="F182" s="83" t="s">
        <v>899</v>
      </c>
      <c r="G182" s="83">
        <v>120</v>
      </c>
      <c r="H182" s="83" t="s">
        <v>753</v>
      </c>
      <c r="I182" s="19">
        <v>608</v>
      </c>
      <c r="J182" s="86">
        <v>37963</v>
      </c>
      <c r="K182" s="83"/>
    </row>
    <row r="183" ht="26.25" customHeight="1" spans="1:11">
      <c r="A183" s="82">
        <f t="shared" si="2"/>
        <v>182</v>
      </c>
      <c r="B183" s="84" t="s">
        <v>938</v>
      </c>
      <c r="C183" s="83" t="s">
        <v>13</v>
      </c>
      <c r="D183" s="83" t="s">
        <v>897</v>
      </c>
      <c r="E183" s="83" t="s">
        <v>898</v>
      </c>
      <c r="F183" s="83" t="s">
        <v>899</v>
      </c>
      <c r="G183" s="83">
        <v>120</v>
      </c>
      <c r="H183" s="83" t="s">
        <v>753</v>
      </c>
      <c r="I183" s="19">
        <v>1000</v>
      </c>
      <c r="J183" s="86">
        <v>37963</v>
      </c>
      <c r="K183" s="83"/>
    </row>
    <row r="184" ht="26.25" customHeight="1" spans="1:11">
      <c r="A184" s="82">
        <f t="shared" si="2"/>
        <v>183</v>
      </c>
      <c r="B184" s="84" t="s">
        <v>939</v>
      </c>
      <c r="C184" s="83" t="s">
        <v>13</v>
      </c>
      <c r="D184" s="83" t="s">
        <v>897</v>
      </c>
      <c r="E184" s="83" t="s">
        <v>898</v>
      </c>
      <c r="F184" s="83" t="s">
        <v>899</v>
      </c>
      <c r="G184" s="83">
        <v>120</v>
      </c>
      <c r="H184" s="83" t="s">
        <v>753</v>
      </c>
      <c r="I184" s="19">
        <v>20</v>
      </c>
      <c r="J184" s="86">
        <v>37963</v>
      </c>
      <c r="K184" s="83"/>
    </row>
    <row r="185" ht="26.25" customHeight="1" spans="1:11">
      <c r="A185" s="82">
        <f t="shared" si="2"/>
        <v>184</v>
      </c>
      <c r="B185" s="84" t="s">
        <v>940</v>
      </c>
      <c r="C185" s="83" t="s">
        <v>13</v>
      </c>
      <c r="D185" s="83" t="s">
        <v>897</v>
      </c>
      <c r="E185" s="83" t="s">
        <v>898</v>
      </c>
      <c r="F185" s="83" t="s">
        <v>899</v>
      </c>
      <c r="G185" s="83">
        <v>120</v>
      </c>
      <c r="H185" s="83" t="s">
        <v>753</v>
      </c>
      <c r="I185" s="19">
        <v>24</v>
      </c>
      <c r="J185" s="86">
        <v>37963</v>
      </c>
      <c r="K185" s="83"/>
    </row>
    <row r="186" ht="26.25" customHeight="1" spans="1:11">
      <c r="A186" s="82">
        <f t="shared" si="2"/>
        <v>185</v>
      </c>
      <c r="B186" s="84" t="s">
        <v>941</v>
      </c>
      <c r="C186" s="83" t="s">
        <v>13</v>
      </c>
      <c r="D186" s="83" t="s">
        <v>897</v>
      </c>
      <c r="E186" s="83" t="s">
        <v>898</v>
      </c>
      <c r="F186" s="83" t="s">
        <v>899</v>
      </c>
      <c r="G186" s="83">
        <v>120</v>
      </c>
      <c r="H186" s="83" t="s">
        <v>753</v>
      </c>
      <c r="I186" s="19">
        <v>112</v>
      </c>
      <c r="J186" s="86">
        <v>37963</v>
      </c>
      <c r="K186" s="83"/>
    </row>
    <row r="187" s="17" customFormat="1" ht="26.25" customHeight="1" spans="1:11">
      <c r="A187" s="82">
        <f t="shared" si="2"/>
        <v>186</v>
      </c>
      <c r="B187" s="84" t="s">
        <v>942</v>
      </c>
      <c r="C187" s="83" t="s">
        <v>13</v>
      </c>
      <c r="D187" s="83" t="s">
        <v>897</v>
      </c>
      <c r="E187" s="83" t="s">
        <v>898</v>
      </c>
      <c r="F187" s="83" t="s">
        <v>899</v>
      </c>
      <c r="G187" s="83">
        <v>120</v>
      </c>
      <c r="H187" s="83" t="s">
        <v>753</v>
      </c>
      <c r="I187" s="83">
        <v>100</v>
      </c>
      <c r="J187" s="86">
        <v>37963</v>
      </c>
      <c r="K187" s="83"/>
    </row>
    <row r="188" ht="26.25" customHeight="1" spans="1:11">
      <c r="A188" s="82">
        <f t="shared" si="2"/>
        <v>187</v>
      </c>
      <c r="B188" s="84" t="s">
        <v>943</v>
      </c>
      <c r="C188" s="83" t="s">
        <v>13</v>
      </c>
      <c r="D188" s="83" t="s">
        <v>897</v>
      </c>
      <c r="E188" s="83" t="s">
        <v>898</v>
      </c>
      <c r="F188" s="83" t="s">
        <v>899</v>
      </c>
      <c r="G188" s="83">
        <v>120</v>
      </c>
      <c r="H188" s="83" t="s">
        <v>753</v>
      </c>
      <c r="I188" s="83">
        <v>328</v>
      </c>
      <c r="J188" s="86">
        <v>37963</v>
      </c>
      <c r="K188" s="83"/>
    </row>
    <row r="189" ht="26.25" customHeight="1" spans="1:11">
      <c r="A189" s="82">
        <f t="shared" si="2"/>
        <v>188</v>
      </c>
      <c r="B189" s="84" t="s">
        <v>944</v>
      </c>
      <c r="C189" s="83" t="s">
        <v>13</v>
      </c>
      <c r="D189" s="83" t="s">
        <v>897</v>
      </c>
      <c r="E189" s="83" t="s">
        <v>898</v>
      </c>
      <c r="F189" s="83" t="s">
        <v>899</v>
      </c>
      <c r="G189" s="83">
        <v>120</v>
      </c>
      <c r="H189" s="83" t="s">
        <v>753</v>
      </c>
      <c r="I189" s="83">
        <v>1000</v>
      </c>
      <c r="J189" s="86">
        <v>37963</v>
      </c>
      <c r="K189" s="83"/>
    </row>
    <row r="190" ht="26.25" customHeight="1" spans="1:11">
      <c r="A190" s="82">
        <f t="shared" si="2"/>
        <v>189</v>
      </c>
      <c r="B190" s="84" t="s">
        <v>945</v>
      </c>
      <c r="C190" s="83" t="s">
        <v>13</v>
      </c>
      <c r="D190" s="83" t="s">
        <v>897</v>
      </c>
      <c r="E190" s="83" t="s">
        <v>898</v>
      </c>
      <c r="F190" s="83" t="s">
        <v>899</v>
      </c>
      <c r="G190" s="83">
        <v>120</v>
      </c>
      <c r="H190" s="83" t="s">
        <v>753</v>
      </c>
      <c r="I190" s="83">
        <v>1000</v>
      </c>
      <c r="J190" s="86">
        <v>37963</v>
      </c>
      <c r="K190" s="83"/>
    </row>
    <row r="191" ht="26.25" customHeight="1" spans="1:11">
      <c r="A191" s="82">
        <f t="shared" si="2"/>
        <v>190</v>
      </c>
      <c r="B191" s="84" t="s">
        <v>946</v>
      </c>
      <c r="C191" s="83" t="s">
        <v>13</v>
      </c>
      <c r="D191" s="83" t="s">
        <v>897</v>
      </c>
      <c r="E191" s="83" t="s">
        <v>898</v>
      </c>
      <c r="F191" s="83" t="s">
        <v>899</v>
      </c>
      <c r="G191" s="83">
        <v>120</v>
      </c>
      <c r="H191" s="83" t="s">
        <v>753</v>
      </c>
      <c r="I191" s="83">
        <v>380</v>
      </c>
      <c r="J191" s="86">
        <v>37963</v>
      </c>
      <c r="K191" s="83"/>
    </row>
    <row r="192" ht="26.25" customHeight="1" spans="1:11">
      <c r="A192" s="82">
        <f t="shared" si="2"/>
        <v>191</v>
      </c>
      <c r="B192" s="84" t="s">
        <v>947</v>
      </c>
      <c r="C192" s="83" t="s">
        <v>13</v>
      </c>
      <c r="D192" s="83" t="s">
        <v>897</v>
      </c>
      <c r="E192" s="83" t="s">
        <v>898</v>
      </c>
      <c r="F192" s="83" t="s">
        <v>899</v>
      </c>
      <c r="G192" s="83">
        <v>120</v>
      </c>
      <c r="H192" s="83" t="s">
        <v>753</v>
      </c>
      <c r="I192" s="83">
        <v>1000</v>
      </c>
      <c r="J192" s="86">
        <v>37963</v>
      </c>
      <c r="K192" s="83"/>
    </row>
    <row r="193" ht="26.25" customHeight="1" spans="1:11">
      <c r="A193" s="82">
        <f t="shared" si="2"/>
        <v>192</v>
      </c>
      <c r="B193" s="84" t="s">
        <v>948</v>
      </c>
      <c r="C193" s="83" t="s">
        <v>13</v>
      </c>
      <c r="D193" s="83" t="s">
        <v>897</v>
      </c>
      <c r="E193" s="83" t="s">
        <v>898</v>
      </c>
      <c r="F193" s="83" t="s">
        <v>899</v>
      </c>
      <c r="G193" s="83">
        <v>120</v>
      </c>
      <c r="H193" s="83" t="s">
        <v>753</v>
      </c>
      <c r="I193" s="83">
        <v>972</v>
      </c>
      <c r="J193" s="86">
        <v>37963</v>
      </c>
      <c r="K193" s="83"/>
    </row>
    <row r="194" ht="26.25" customHeight="1" spans="1:11">
      <c r="A194" s="82">
        <f t="shared" si="2"/>
        <v>193</v>
      </c>
      <c r="B194" s="84" t="s">
        <v>949</v>
      </c>
      <c r="C194" s="83" t="s">
        <v>13</v>
      </c>
      <c r="D194" s="83" t="s">
        <v>897</v>
      </c>
      <c r="E194" s="83" t="s">
        <v>898</v>
      </c>
      <c r="F194" s="83" t="s">
        <v>899</v>
      </c>
      <c r="G194" s="83">
        <v>120</v>
      </c>
      <c r="H194" s="83" t="s">
        <v>753</v>
      </c>
      <c r="I194" s="83">
        <v>300</v>
      </c>
      <c r="J194" s="86">
        <v>37963</v>
      </c>
      <c r="K194" s="83"/>
    </row>
    <row r="195" ht="26.25" customHeight="1" spans="1:11">
      <c r="A195" s="82">
        <f t="shared" si="2"/>
        <v>194</v>
      </c>
      <c r="B195" s="84" t="s">
        <v>950</v>
      </c>
      <c r="C195" s="83" t="s">
        <v>13</v>
      </c>
      <c r="D195" s="83" t="s">
        <v>897</v>
      </c>
      <c r="E195" s="83" t="s">
        <v>898</v>
      </c>
      <c r="F195" s="83" t="s">
        <v>899</v>
      </c>
      <c r="G195" s="83">
        <v>120</v>
      </c>
      <c r="H195" s="83" t="s">
        <v>753</v>
      </c>
      <c r="I195" s="83">
        <v>992</v>
      </c>
      <c r="J195" s="86">
        <v>37963</v>
      </c>
      <c r="K195" s="83"/>
    </row>
    <row r="196" ht="26.25" customHeight="1" spans="1:11">
      <c r="A196" s="82">
        <f t="shared" ref="A196:A259" si="3">ROW(B196)-1</f>
        <v>195</v>
      </c>
      <c r="B196" s="84" t="s">
        <v>951</v>
      </c>
      <c r="C196" s="83" t="s">
        <v>13</v>
      </c>
      <c r="D196" s="83" t="s">
        <v>897</v>
      </c>
      <c r="E196" s="83" t="s">
        <v>898</v>
      </c>
      <c r="F196" s="83" t="s">
        <v>899</v>
      </c>
      <c r="G196" s="83">
        <v>120</v>
      </c>
      <c r="H196" s="83" t="s">
        <v>753</v>
      </c>
      <c r="I196" s="83">
        <v>316</v>
      </c>
      <c r="J196" s="86">
        <v>37963</v>
      </c>
      <c r="K196" s="83"/>
    </row>
    <row r="197" ht="26.25" customHeight="1" spans="1:11">
      <c r="A197" s="82">
        <f t="shared" si="3"/>
        <v>196</v>
      </c>
      <c r="B197" s="84" t="s">
        <v>952</v>
      </c>
      <c r="C197" s="83" t="s">
        <v>13</v>
      </c>
      <c r="D197" s="83" t="s">
        <v>897</v>
      </c>
      <c r="E197" s="83" t="s">
        <v>898</v>
      </c>
      <c r="F197" s="83" t="s">
        <v>899</v>
      </c>
      <c r="G197" s="83">
        <v>120</v>
      </c>
      <c r="H197" s="83" t="s">
        <v>753</v>
      </c>
      <c r="I197" s="83">
        <v>80</v>
      </c>
      <c r="J197" s="86">
        <v>37963</v>
      </c>
      <c r="K197" s="83"/>
    </row>
    <row r="198" s="17" customFormat="1" ht="26.25" customHeight="1" spans="1:11">
      <c r="A198" s="82">
        <f t="shared" si="3"/>
        <v>197</v>
      </c>
      <c r="B198" s="84" t="s">
        <v>953</v>
      </c>
      <c r="C198" s="83" t="s">
        <v>13</v>
      </c>
      <c r="D198" s="83" t="s">
        <v>897</v>
      </c>
      <c r="E198" s="83" t="s">
        <v>898</v>
      </c>
      <c r="F198" s="83" t="s">
        <v>899</v>
      </c>
      <c r="G198" s="83">
        <v>120</v>
      </c>
      <c r="H198" s="83" t="s">
        <v>753</v>
      </c>
      <c r="I198" s="83">
        <v>144</v>
      </c>
      <c r="J198" s="86">
        <v>37963</v>
      </c>
      <c r="K198" s="83"/>
    </row>
    <row r="199" s="17" customFormat="1" ht="26.25" customHeight="1" spans="1:11">
      <c r="A199" s="82">
        <f t="shared" si="3"/>
        <v>198</v>
      </c>
      <c r="B199" s="84" t="s">
        <v>954</v>
      </c>
      <c r="C199" s="83" t="s">
        <v>13</v>
      </c>
      <c r="D199" s="83" t="s">
        <v>897</v>
      </c>
      <c r="E199" s="83" t="s">
        <v>898</v>
      </c>
      <c r="F199" s="83" t="s">
        <v>899</v>
      </c>
      <c r="G199" s="83">
        <v>120</v>
      </c>
      <c r="H199" s="83" t="s">
        <v>753</v>
      </c>
      <c r="I199" s="83">
        <v>56</v>
      </c>
      <c r="J199" s="86">
        <v>37963</v>
      </c>
      <c r="K199" s="83"/>
    </row>
    <row r="200" s="17" customFormat="1" ht="26.25" customHeight="1" spans="1:11">
      <c r="A200" s="82">
        <f t="shared" si="3"/>
        <v>199</v>
      </c>
      <c r="B200" s="84" t="s">
        <v>955</v>
      </c>
      <c r="C200" s="83" t="s">
        <v>13</v>
      </c>
      <c r="D200" s="83" t="s">
        <v>897</v>
      </c>
      <c r="E200" s="83" t="s">
        <v>898</v>
      </c>
      <c r="F200" s="83" t="s">
        <v>899</v>
      </c>
      <c r="G200" s="83">
        <v>120</v>
      </c>
      <c r="H200" s="83" t="s">
        <v>753</v>
      </c>
      <c r="I200" s="83">
        <v>200</v>
      </c>
      <c r="J200" s="86">
        <v>37963</v>
      </c>
      <c r="K200" s="83"/>
    </row>
    <row r="201" s="17" customFormat="1" ht="26.25" customHeight="1" spans="1:11">
      <c r="A201" s="82">
        <f t="shared" si="3"/>
        <v>200</v>
      </c>
      <c r="B201" s="84" t="s">
        <v>956</v>
      </c>
      <c r="C201" s="83" t="s">
        <v>13</v>
      </c>
      <c r="D201" s="83" t="s">
        <v>897</v>
      </c>
      <c r="E201" s="83" t="s">
        <v>898</v>
      </c>
      <c r="F201" s="83" t="s">
        <v>899</v>
      </c>
      <c r="G201" s="83">
        <v>120</v>
      </c>
      <c r="H201" s="83" t="s">
        <v>753</v>
      </c>
      <c r="I201" s="83">
        <v>52</v>
      </c>
      <c r="J201" s="86">
        <v>37963</v>
      </c>
      <c r="K201" s="83"/>
    </row>
    <row r="202" s="17" customFormat="1" ht="26.25" customHeight="1" spans="1:11">
      <c r="A202" s="82">
        <f t="shared" si="3"/>
        <v>201</v>
      </c>
      <c r="B202" s="84" t="s">
        <v>957</v>
      </c>
      <c r="C202" s="83" t="s">
        <v>13</v>
      </c>
      <c r="D202" s="83" t="s">
        <v>897</v>
      </c>
      <c r="E202" s="83" t="s">
        <v>898</v>
      </c>
      <c r="F202" s="83" t="s">
        <v>899</v>
      </c>
      <c r="G202" s="83">
        <v>120</v>
      </c>
      <c r="H202" s="83" t="s">
        <v>753</v>
      </c>
      <c r="I202" s="83">
        <v>60</v>
      </c>
      <c r="J202" s="86">
        <v>37963</v>
      </c>
      <c r="K202" s="83"/>
    </row>
    <row r="203" s="17" customFormat="1" ht="26.25" customHeight="1" spans="1:11">
      <c r="A203" s="82">
        <f t="shared" si="3"/>
        <v>202</v>
      </c>
      <c r="B203" s="84" t="s">
        <v>958</v>
      </c>
      <c r="C203" s="83" t="s">
        <v>13</v>
      </c>
      <c r="D203" s="83" t="s">
        <v>897</v>
      </c>
      <c r="E203" s="83" t="s">
        <v>898</v>
      </c>
      <c r="F203" s="83" t="s">
        <v>899</v>
      </c>
      <c r="G203" s="83">
        <v>120</v>
      </c>
      <c r="H203" s="83" t="s">
        <v>753</v>
      </c>
      <c r="I203" s="83">
        <v>12</v>
      </c>
      <c r="J203" s="86">
        <v>37963</v>
      </c>
      <c r="K203" s="83"/>
    </row>
    <row r="204" s="17" customFormat="1" ht="26.25" customHeight="1" spans="1:11">
      <c r="A204" s="82">
        <f t="shared" si="3"/>
        <v>203</v>
      </c>
      <c r="B204" s="84" t="s">
        <v>959</v>
      </c>
      <c r="C204" s="83" t="s">
        <v>13</v>
      </c>
      <c r="D204" s="83" t="s">
        <v>897</v>
      </c>
      <c r="E204" s="83" t="s">
        <v>898</v>
      </c>
      <c r="F204" s="83" t="s">
        <v>899</v>
      </c>
      <c r="G204" s="83">
        <v>120</v>
      </c>
      <c r="H204" s="83" t="s">
        <v>753</v>
      </c>
      <c r="I204" s="83">
        <v>1000</v>
      </c>
      <c r="J204" s="86">
        <v>37963</v>
      </c>
      <c r="K204" s="83"/>
    </row>
    <row r="205" s="17" customFormat="1" ht="26.25" customHeight="1" spans="1:11">
      <c r="A205" s="82">
        <f t="shared" si="3"/>
        <v>204</v>
      </c>
      <c r="B205" s="84" t="s">
        <v>960</v>
      </c>
      <c r="C205" s="83" t="s">
        <v>13</v>
      </c>
      <c r="D205" s="83" t="s">
        <v>897</v>
      </c>
      <c r="E205" s="83" t="s">
        <v>898</v>
      </c>
      <c r="F205" s="83" t="s">
        <v>899</v>
      </c>
      <c r="G205" s="83">
        <v>120</v>
      </c>
      <c r="H205" s="83" t="s">
        <v>753</v>
      </c>
      <c r="I205" s="83">
        <v>140</v>
      </c>
      <c r="J205" s="86">
        <v>37963</v>
      </c>
      <c r="K205" s="83"/>
    </row>
    <row r="206" s="17" customFormat="1" ht="26.25" customHeight="1" spans="1:11">
      <c r="A206" s="82">
        <f t="shared" si="3"/>
        <v>205</v>
      </c>
      <c r="B206" s="84" t="s">
        <v>961</v>
      </c>
      <c r="C206" s="83" t="s">
        <v>13</v>
      </c>
      <c r="D206" s="83" t="s">
        <v>897</v>
      </c>
      <c r="E206" s="83" t="s">
        <v>898</v>
      </c>
      <c r="F206" s="83" t="s">
        <v>899</v>
      </c>
      <c r="G206" s="83">
        <v>120</v>
      </c>
      <c r="H206" s="83" t="s">
        <v>753</v>
      </c>
      <c r="I206" s="83">
        <v>436</v>
      </c>
      <c r="J206" s="86">
        <v>37963</v>
      </c>
      <c r="K206" s="83"/>
    </row>
    <row r="207" ht="26.25" customHeight="1" spans="1:11">
      <c r="A207" s="82">
        <f t="shared" si="3"/>
        <v>206</v>
      </c>
      <c r="B207" s="84" t="s">
        <v>962</v>
      </c>
      <c r="C207" s="83" t="s">
        <v>13</v>
      </c>
      <c r="D207" s="83" t="s">
        <v>897</v>
      </c>
      <c r="E207" s="83" t="s">
        <v>898</v>
      </c>
      <c r="F207" s="83" t="s">
        <v>899</v>
      </c>
      <c r="G207" s="83">
        <v>120</v>
      </c>
      <c r="H207" s="83" t="s">
        <v>753</v>
      </c>
      <c r="I207" s="83">
        <v>136</v>
      </c>
      <c r="J207" s="86">
        <v>37963</v>
      </c>
      <c r="K207" s="83"/>
    </row>
    <row r="208" ht="26.25" customHeight="1" spans="1:11">
      <c r="A208" s="82">
        <f t="shared" si="3"/>
        <v>207</v>
      </c>
      <c r="B208" s="84" t="s">
        <v>963</v>
      </c>
      <c r="C208" s="83" t="s">
        <v>13</v>
      </c>
      <c r="D208" s="83" t="s">
        <v>897</v>
      </c>
      <c r="E208" s="83" t="s">
        <v>898</v>
      </c>
      <c r="F208" s="83" t="s">
        <v>899</v>
      </c>
      <c r="G208" s="83">
        <v>120</v>
      </c>
      <c r="H208" s="83" t="s">
        <v>753</v>
      </c>
      <c r="I208" s="83">
        <v>416</v>
      </c>
      <c r="J208" s="86">
        <v>37963</v>
      </c>
      <c r="K208" s="83"/>
    </row>
    <row r="209" ht="26.25" customHeight="1" spans="1:11">
      <c r="A209" s="82">
        <f t="shared" si="3"/>
        <v>208</v>
      </c>
      <c r="B209" s="84" t="s">
        <v>964</v>
      </c>
      <c r="C209" s="83" t="s">
        <v>13</v>
      </c>
      <c r="D209" s="83" t="s">
        <v>897</v>
      </c>
      <c r="E209" s="83" t="s">
        <v>898</v>
      </c>
      <c r="F209" s="83" t="s">
        <v>899</v>
      </c>
      <c r="G209" s="83">
        <v>120</v>
      </c>
      <c r="H209" s="83" t="s">
        <v>753</v>
      </c>
      <c r="I209" s="83">
        <v>384</v>
      </c>
      <c r="J209" s="86">
        <v>37963</v>
      </c>
      <c r="K209" s="83"/>
    </row>
    <row r="210" ht="26.25" customHeight="1" spans="1:11">
      <c r="A210" s="82">
        <f t="shared" si="3"/>
        <v>209</v>
      </c>
      <c r="B210" s="84" t="s">
        <v>965</v>
      </c>
      <c r="C210" s="83" t="s">
        <v>13</v>
      </c>
      <c r="D210" s="83" t="s">
        <v>897</v>
      </c>
      <c r="E210" s="83" t="s">
        <v>898</v>
      </c>
      <c r="F210" s="83" t="s">
        <v>899</v>
      </c>
      <c r="G210" s="83">
        <v>120</v>
      </c>
      <c r="H210" s="83" t="s">
        <v>753</v>
      </c>
      <c r="I210" s="83">
        <v>92</v>
      </c>
      <c r="J210" s="86">
        <v>37963</v>
      </c>
      <c r="K210" s="83"/>
    </row>
    <row r="211" ht="26.25" customHeight="1" spans="1:11">
      <c r="A211" s="82">
        <f t="shared" si="3"/>
        <v>210</v>
      </c>
      <c r="B211" s="84" t="s">
        <v>966</v>
      </c>
      <c r="C211" s="83" t="s">
        <v>13</v>
      </c>
      <c r="D211" s="83" t="s">
        <v>897</v>
      </c>
      <c r="E211" s="83" t="s">
        <v>898</v>
      </c>
      <c r="F211" s="83" t="s">
        <v>899</v>
      </c>
      <c r="G211" s="83">
        <v>120</v>
      </c>
      <c r="H211" s="83" t="s">
        <v>753</v>
      </c>
      <c r="I211" s="83">
        <v>96</v>
      </c>
      <c r="J211" s="86">
        <v>37963</v>
      </c>
      <c r="K211" s="83"/>
    </row>
    <row r="212" ht="26.25" customHeight="1" spans="1:11">
      <c r="A212" s="82">
        <f t="shared" si="3"/>
        <v>211</v>
      </c>
      <c r="B212" s="84" t="s">
        <v>967</v>
      </c>
      <c r="C212" s="83" t="s">
        <v>13</v>
      </c>
      <c r="D212" s="83" t="s">
        <v>897</v>
      </c>
      <c r="E212" s="83" t="s">
        <v>898</v>
      </c>
      <c r="F212" s="83" t="s">
        <v>899</v>
      </c>
      <c r="G212" s="83">
        <v>120</v>
      </c>
      <c r="H212" s="83" t="s">
        <v>753</v>
      </c>
      <c r="I212" s="83">
        <v>224</v>
      </c>
      <c r="J212" s="86">
        <v>37963</v>
      </c>
      <c r="K212" s="83"/>
    </row>
    <row r="213" s="17" customFormat="1" ht="26.25" customHeight="1" spans="1:11">
      <c r="A213" s="82">
        <f t="shared" si="3"/>
        <v>212</v>
      </c>
      <c r="B213" s="84" t="s">
        <v>968</v>
      </c>
      <c r="C213" s="83" t="s">
        <v>13</v>
      </c>
      <c r="D213" s="83" t="s">
        <v>897</v>
      </c>
      <c r="E213" s="83" t="s">
        <v>898</v>
      </c>
      <c r="F213" s="83" t="s">
        <v>899</v>
      </c>
      <c r="G213" s="83">
        <v>120</v>
      </c>
      <c r="H213" s="83" t="s">
        <v>753</v>
      </c>
      <c r="I213" s="85">
        <v>628</v>
      </c>
      <c r="J213" s="86">
        <v>37963</v>
      </c>
      <c r="K213" s="83"/>
    </row>
    <row r="214" ht="26.25" customHeight="1" spans="1:11">
      <c r="A214" s="82">
        <f t="shared" si="3"/>
        <v>213</v>
      </c>
      <c r="B214" s="84" t="s">
        <v>969</v>
      </c>
      <c r="C214" s="83" t="s">
        <v>13</v>
      </c>
      <c r="D214" s="83" t="s">
        <v>897</v>
      </c>
      <c r="E214" s="83" t="s">
        <v>898</v>
      </c>
      <c r="F214" s="83" t="s">
        <v>899</v>
      </c>
      <c r="G214" s="83">
        <v>120</v>
      </c>
      <c r="H214" s="83" t="s">
        <v>753</v>
      </c>
      <c r="I214" s="85">
        <v>480</v>
      </c>
      <c r="J214" s="86">
        <v>37963</v>
      </c>
      <c r="K214" s="83"/>
    </row>
    <row r="215" ht="26.25" customHeight="1" spans="1:11">
      <c r="A215" s="82">
        <f t="shared" si="3"/>
        <v>214</v>
      </c>
      <c r="B215" s="84" t="s">
        <v>970</v>
      </c>
      <c r="C215" s="83" t="s">
        <v>13</v>
      </c>
      <c r="D215" s="83" t="s">
        <v>897</v>
      </c>
      <c r="E215" s="83" t="s">
        <v>898</v>
      </c>
      <c r="F215" s="83" t="s">
        <v>899</v>
      </c>
      <c r="G215" s="83">
        <v>120</v>
      </c>
      <c r="H215" s="83" t="s">
        <v>753</v>
      </c>
      <c r="I215" s="85">
        <v>228</v>
      </c>
      <c r="J215" s="86">
        <v>37963</v>
      </c>
      <c r="K215" s="83"/>
    </row>
    <row r="216" ht="26.25" customHeight="1" spans="1:11">
      <c r="A216" s="82">
        <f t="shared" si="3"/>
        <v>215</v>
      </c>
      <c r="B216" s="84" t="s">
        <v>971</v>
      </c>
      <c r="C216" s="83" t="s">
        <v>13</v>
      </c>
      <c r="D216" s="83" t="s">
        <v>897</v>
      </c>
      <c r="E216" s="83" t="s">
        <v>898</v>
      </c>
      <c r="F216" s="83" t="s">
        <v>899</v>
      </c>
      <c r="G216" s="83">
        <v>120</v>
      </c>
      <c r="H216" s="83" t="s">
        <v>753</v>
      </c>
      <c r="I216" s="85">
        <v>140</v>
      </c>
      <c r="J216" s="86">
        <v>37963</v>
      </c>
      <c r="K216" s="83"/>
    </row>
    <row r="217" ht="26.25" customHeight="1" spans="1:11">
      <c r="A217" s="82">
        <f t="shared" si="3"/>
        <v>216</v>
      </c>
      <c r="B217" s="84" t="s">
        <v>972</v>
      </c>
      <c r="C217" s="83" t="s">
        <v>13</v>
      </c>
      <c r="D217" s="83" t="s">
        <v>897</v>
      </c>
      <c r="E217" s="83" t="s">
        <v>898</v>
      </c>
      <c r="F217" s="83" t="s">
        <v>899</v>
      </c>
      <c r="G217" s="83">
        <v>120</v>
      </c>
      <c r="H217" s="83" t="s">
        <v>753</v>
      </c>
      <c r="I217" s="85">
        <v>80</v>
      </c>
      <c r="J217" s="86">
        <v>37963</v>
      </c>
      <c r="K217" s="83"/>
    </row>
    <row r="218" ht="26.25" customHeight="1" spans="1:11">
      <c r="A218" s="82">
        <f t="shared" si="3"/>
        <v>217</v>
      </c>
      <c r="B218" s="84" t="s">
        <v>973</v>
      </c>
      <c r="C218" s="83" t="s">
        <v>13</v>
      </c>
      <c r="D218" s="83" t="s">
        <v>897</v>
      </c>
      <c r="E218" s="83" t="s">
        <v>898</v>
      </c>
      <c r="F218" s="83" t="s">
        <v>899</v>
      </c>
      <c r="G218" s="83">
        <v>120</v>
      </c>
      <c r="H218" s="83" t="s">
        <v>753</v>
      </c>
      <c r="I218" s="85">
        <v>212</v>
      </c>
      <c r="J218" s="86">
        <v>37963</v>
      </c>
      <c r="K218" s="83"/>
    </row>
    <row r="219" ht="26.25" customHeight="1" spans="1:11">
      <c r="A219" s="82">
        <f t="shared" si="3"/>
        <v>218</v>
      </c>
      <c r="B219" s="84" t="s">
        <v>974</v>
      </c>
      <c r="C219" s="83" t="s">
        <v>13</v>
      </c>
      <c r="D219" s="83" t="s">
        <v>897</v>
      </c>
      <c r="E219" s="83" t="s">
        <v>898</v>
      </c>
      <c r="F219" s="83" t="s">
        <v>899</v>
      </c>
      <c r="G219" s="83">
        <v>120</v>
      </c>
      <c r="H219" s="83" t="s">
        <v>753</v>
      </c>
      <c r="I219" s="85">
        <v>396</v>
      </c>
      <c r="J219" s="86">
        <v>37963</v>
      </c>
      <c r="K219" s="83"/>
    </row>
    <row r="220" ht="26.25" customHeight="1" spans="1:11">
      <c r="A220" s="82">
        <f t="shared" si="3"/>
        <v>219</v>
      </c>
      <c r="B220" s="84" t="s">
        <v>975</v>
      </c>
      <c r="C220" s="83" t="s">
        <v>13</v>
      </c>
      <c r="D220" s="83" t="s">
        <v>897</v>
      </c>
      <c r="E220" s="83" t="s">
        <v>898</v>
      </c>
      <c r="F220" s="83" t="s">
        <v>899</v>
      </c>
      <c r="G220" s="83">
        <v>120</v>
      </c>
      <c r="H220" s="83" t="s">
        <v>753</v>
      </c>
      <c r="I220" s="85">
        <v>252</v>
      </c>
      <c r="J220" s="86">
        <v>37963</v>
      </c>
      <c r="K220" s="83"/>
    </row>
    <row r="221" ht="26.25" customHeight="1" spans="1:11">
      <c r="A221" s="82">
        <f t="shared" si="3"/>
        <v>220</v>
      </c>
      <c r="B221" s="84" t="s">
        <v>976</v>
      </c>
      <c r="C221" s="83" t="s">
        <v>13</v>
      </c>
      <c r="D221" s="83" t="s">
        <v>897</v>
      </c>
      <c r="E221" s="83" t="s">
        <v>898</v>
      </c>
      <c r="F221" s="83" t="s">
        <v>899</v>
      </c>
      <c r="G221" s="83">
        <v>120</v>
      </c>
      <c r="H221" s="83" t="s">
        <v>753</v>
      </c>
      <c r="I221" s="85">
        <v>68</v>
      </c>
      <c r="J221" s="86">
        <v>37963</v>
      </c>
      <c r="K221" s="83"/>
    </row>
    <row r="222" ht="26.25" customHeight="1" spans="1:11">
      <c r="A222" s="82">
        <f t="shared" si="3"/>
        <v>221</v>
      </c>
      <c r="B222" s="84" t="s">
        <v>977</v>
      </c>
      <c r="C222" s="83" t="s">
        <v>13</v>
      </c>
      <c r="D222" s="83" t="s">
        <v>897</v>
      </c>
      <c r="E222" s="83" t="s">
        <v>898</v>
      </c>
      <c r="F222" s="83" t="s">
        <v>899</v>
      </c>
      <c r="G222" s="83">
        <v>120</v>
      </c>
      <c r="H222" s="83" t="s">
        <v>753</v>
      </c>
      <c r="I222" s="85">
        <v>1000</v>
      </c>
      <c r="J222" s="86">
        <v>37963</v>
      </c>
      <c r="K222" s="83"/>
    </row>
    <row r="223" ht="26.25" customHeight="1" spans="1:11">
      <c r="A223" s="82">
        <f t="shared" si="3"/>
        <v>222</v>
      </c>
      <c r="B223" s="84" t="s">
        <v>978</v>
      </c>
      <c r="C223" s="83" t="s">
        <v>13</v>
      </c>
      <c r="D223" s="83" t="s">
        <v>897</v>
      </c>
      <c r="E223" s="83" t="s">
        <v>898</v>
      </c>
      <c r="F223" s="83" t="s">
        <v>899</v>
      </c>
      <c r="G223" s="83">
        <v>120</v>
      </c>
      <c r="H223" s="83" t="s">
        <v>753</v>
      </c>
      <c r="I223" s="85">
        <v>220</v>
      </c>
      <c r="J223" s="86">
        <v>37963</v>
      </c>
      <c r="K223" s="83"/>
    </row>
    <row r="224" ht="26.25" customHeight="1" spans="1:11">
      <c r="A224" s="82">
        <f t="shared" si="3"/>
        <v>223</v>
      </c>
      <c r="B224" s="84" t="s">
        <v>979</v>
      </c>
      <c r="C224" s="83" t="s">
        <v>13</v>
      </c>
      <c r="D224" s="83" t="s">
        <v>897</v>
      </c>
      <c r="E224" s="83" t="s">
        <v>898</v>
      </c>
      <c r="F224" s="83" t="s">
        <v>899</v>
      </c>
      <c r="G224" s="83">
        <v>120</v>
      </c>
      <c r="H224" s="83" t="s">
        <v>753</v>
      </c>
      <c r="I224" s="85">
        <v>544</v>
      </c>
      <c r="J224" s="86">
        <v>37963</v>
      </c>
      <c r="K224" s="83"/>
    </row>
    <row r="225" ht="26.25" customHeight="1" spans="1:11">
      <c r="A225" s="82">
        <f t="shared" si="3"/>
        <v>224</v>
      </c>
      <c r="B225" s="84" t="s">
        <v>980</v>
      </c>
      <c r="C225" s="83" t="s">
        <v>13</v>
      </c>
      <c r="D225" s="83" t="s">
        <v>897</v>
      </c>
      <c r="E225" s="83" t="s">
        <v>898</v>
      </c>
      <c r="F225" s="83" t="s">
        <v>899</v>
      </c>
      <c r="G225" s="83">
        <v>120</v>
      </c>
      <c r="H225" s="83" t="s">
        <v>753</v>
      </c>
      <c r="I225" s="85">
        <v>564</v>
      </c>
      <c r="J225" s="86">
        <v>37963</v>
      </c>
      <c r="K225" s="83"/>
    </row>
    <row r="226" ht="26.25" customHeight="1" spans="1:11">
      <c r="A226" s="82">
        <f t="shared" si="3"/>
        <v>225</v>
      </c>
      <c r="B226" s="84" t="s">
        <v>981</v>
      </c>
      <c r="C226" s="83" t="s">
        <v>13</v>
      </c>
      <c r="D226" s="83" t="s">
        <v>897</v>
      </c>
      <c r="E226" s="83" t="s">
        <v>898</v>
      </c>
      <c r="F226" s="83" t="s">
        <v>899</v>
      </c>
      <c r="G226" s="83">
        <v>120</v>
      </c>
      <c r="H226" s="83" t="s">
        <v>753</v>
      </c>
      <c r="I226" s="85">
        <v>1000</v>
      </c>
      <c r="J226" s="86">
        <v>37963</v>
      </c>
      <c r="K226" s="83"/>
    </row>
    <row r="227" ht="26.25" customHeight="1" spans="1:11">
      <c r="A227" s="82">
        <f t="shared" si="3"/>
        <v>226</v>
      </c>
      <c r="B227" s="84" t="s">
        <v>982</v>
      </c>
      <c r="C227" s="83" t="s">
        <v>13</v>
      </c>
      <c r="D227" s="83" t="s">
        <v>897</v>
      </c>
      <c r="E227" s="83" t="s">
        <v>898</v>
      </c>
      <c r="F227" s="83" t="s">
        <v>899</v>
      </c>
      <c r="G227" s="83">
        <v>120</v>
      </c>
      <c r="H227" s="83" t="s">
        <v>753</v>
      </c>
      <c r="I227" s="85">
        <v>152</v>
      </c>
      <c r="J227" s="86">
        <v>37963</v>
      </c>
      <c r="K227" s="83"/>
    </row>
    <row r="228" ht="26.25" customHeight="1" spans="1:11">
      <c r="A228" s="82">
        <f t="shared" si="3"/>
        <v>227</v>
      </c>
      <c r="B228" s="84" t="s">
        <v>983</v>
      </c>
      <c r="C228" s="83" t="s">
        <v>13</v>
      </c>
      <c r="D228" s="83" t="s">
        <v>897</v>
      </c>
      <c r="E228" s="83" t="s">
        <v>898</v>
      </c>
      <c r="F228" s="83" t="s">
        <v>899</v>
      </c>
      <c r="G228" s="83">
        <v>120</v>
      </c>
      <c r="H228" s="83" t="s">
        <v>753</v>
      </c>
      <c r="I228" s="85">
        <v>140</v>
      </c>
      <c r="J228" s="86">
        <v>37963</v>
      </c>
      <c r="K228" s="83"/>
    </row>
    <row r="229" ht="26.25" customHeight="1" spans="1:11">
      <c r="A229" s="82">
        <f t="shared" si="3"/>
        <v>228</v>
      </c>
      <c r="B229" s="84" t="s">
        <v>984</v>
      </c>
      <c r="C229" s="83" t="s">
        <v>13</v>
      </c>
      <c r="D229" s="83" t="s">
        <v>897</v>
      </c>
      <c r="E229" s="83" t="s">
        <v>898</v>
      </c>
      <c r="F229" s="83" t="s">
        <v>899</v>
      </c>
      <c r="G229" s="83">
        <v>120</v>
      </c>
      <c r="H229" s="83" t="s">
        <v>753</v>
      </c>
      <c r="I229" s="85">
        <v>600</v>
      </c>
      <c r="J229" s="86">
        <v>37963</v>
      </c>
      <c r="K229" s="83"/>
    </row>
    <row r="230" ht="26.25" customHeight="1" spans="1:11">
      <c r="A230" s="82">
        <f t="shared" si="3"/>
        <v>229</v>
      </c>
      <c r="B230" s="84" t="s">
        <v>985</v>
      </c>
      <c r="C230" s="83" t="s">
        <v>13</v>
      </c>
      <c r="D230" s="83" t="s">
        <v>897</v>
      </c>
      <c r="E230" s="83" t="s">
        <v>898</v>
      </c>
      <c r="F230" s="83" t="s">
        <v>899</v>
      </c>
      <c r="G230" s="83">
        <v>120</v>
      </c>
      <c r="H230" s="83" t="s">
        <v>753</v>
      </c>
      <c r="I230" s="85">
        <v>1000</v>
      </c>
      <c r="J230" s="86">
        <v>37963</v>
      </c>
      <c r="K230" s="83"/>
    </row>
    <row r="231" ht="26.25" customHeight="1" spans="1:11">
      <c r="A231" s="82">
        <f t="shared" si="3"/>
        <v>230</v>
      </c>
      <c r="B231" s="84" t="s">
        <v>986</v>
      </c>
      <c r="C231" s="83" t="s">
        <v>13</v>
      </c>
      <c r="D231" s="83" t="s">
        <v>897</v>
      </c>
      <c r="E231" s="83" t="s">
        <v>898</v>
      </c>
      <c r="F231" s="83" t="s">
        <v>899</v>
      </c>
      <c r="G231" s="83">
        <v>120</v>
      </c>
      <c r="H231" s="83" t="s">
        <v>753</v>
      </c>
      <c r="I231" s="85">
        <v>320</v>
      </c>
      <c r="J231" s="86">
        <v>37963</v>
      </c>
      <c r="K231" s="83"/>
    </row>
    <row r="232" ht="26.25" customHeight="1" spans="1:11">
      <c r="A232" s="82">
        <f t="shared" si="3"/>
        <v>231</v>
      </c>
      <c r="B232" s="84" t="s">
        <v>987</v>
      </c>
      <c r="C232" s="83" t="s">
        <v>13</v>
      </c>
      <c r="D232" s="83" t="s">
        <v>897</v>
      </c>
      <c r="E232" s="83" t="s">
        <v>898</v>
      </c>
      <c r="F232" s="83" t="s">
        <v>899</v>
      </c>
      <c r="G232" s="83">
        <v>120</v>
      </c>
      <c r="H232" s="83" t="s">
        <v>753</v>
      </c>
      <c r="I232" s="85">
        <v>688</v>
      </c>
      <c r="J232" s="86">
        <v>37963</v>
      </c>
      <c r="K232" s="83"/>
    </row>
    <row r="233" ht="26.25" customHeight="1" spans="1:11">
      <c r="A233" s="82">
        <f t="shared" si="3"/>
        <v>232</v>
      </c>
      <c r="B233" s="84" t="s">
        <v>988</v>
      </c>
      <c r="C233" s="83" t="s">
        <v>13</v>
      </c>
      <c r="D233" s="83" t="s">
        <v>897</v>
      </c>
      <c r="E233" s="83" t="s">
        <v>898</v>
      </c>
      <c r="F233" s="83" t="s">
        <v>899</v>
      </c>
      <c r="G233" s="83">
        <v>120</v>
      </c>
      <c r="H233" s="83" t="s">
        <v>753</v>
      </c>
      <c r="I233" s="85">
        <v>1000</v>
      </c>
      <c r="J233" s="86">
        <v>37963</v>
      </c>
      <c r="K233" s="83"/>
    </row>
    <row r="234" ht="26.25" customHeight="1" spans="1:11">
      <c r="A234" s="82">
        <f t="shared" si="3"/>
        <v>233</v>
      </c>
      <c r="B234" s="84" t="s">
        <v>989</v>
      </c>
      <c r="C234" s="83" t="s">
        <v>13</v>
      </c>
      <c r="D234" s="83" t="s">
        <v>897</v>
      </c>
      <c r="E234" s="83" t="s">
        <v>898</v>
      </c>
      <c r="F234" s="83" t="s">
        <v>899</v>
      </c>
      <c r="G234" s="83">
        <v>120</v>
      </c>
      <c r="H234" s="83" t="s">
        <v>753</v>
      </c>
      <c r="I234" s="85">
        <v>1000</v>
      </c>
      <c r="J234" s="86">
        <v>37963</v>
      </c>
      <c r="K234" s="83"/>
    </row>
    <row r="235" ht="26.25" customHeight="1" spans="1:11">
      <c r="A235" s="82">
        <f t="shared" si="3"/>
        <v>234</v>
      </c>
      <c r="B235" s="92" t="s">
        <v>990</v>
      </c>
      <c r="C235" s="83" t="s">
        <v>13</v>
      </c>
      <c r="D235" s="83" t="s">
        <v>897</v>
      </c>
      <c r="E235" s="83" t="s">
        <v>898</v>
      </c>
      <c r="F235" s="83" t="s">
        <v>899</v>
      </c>
      <c r="G235" s="83">
        <v>120</v>
      </c>
      <c r="H235" s="83" t="s">
        <v>753</v>
      </c>
      <c r="I235" s="85">
        <v>16</v>
      </c>
      <c r="J235" s="86">
        <v>37963</v>
      </c>
      <c r="K235" s="83"/>
    </row>
    <row r="236" ht="26.25" customHeight="1" spans="1:11">
      <c r="A236" s="82">
        <f t="shared" si="3"/>
        <v>235</v>
      </c>
      <c r="B236" s="92" t="s">
        <v>991</v>
      </c>
      <c r="C236" s="83" t="s">
        <v>13</v>
      </c>
      <c r="D236" s="83" t="s">
        <v>897</v>
      </c>
      <c r="E236" s="83" t="s">
        <v>898</v>
      </c>
      <c r="F236" s="83" t="s">
        <v>899</v>
      </c>
      <c r="G236" s="83">
        <v>120</v>
      </c>
      <c r="H236" s="83" t="s">
        <v>753</v>
      </c>
      <c r="I236" s="85">
        <v>1000</v>
      </c>
      <c r="J236" s="86">
        <v>37963</v>
      </c>
      <c r="K236" s="83"/>
    </row>
    <row r="237" ht="26.25" customHeight="1" spans="1:11">
      <c r="A237" s="82">
        <f t="shared" si="3"/>
        <v>236</v>
      </c>
      <c r="B237" s="92" t="s">
        <v>992</v>
      </c>
      <c r="C237" s="83" t="s">
        <v>13</v>
      </c>
      <c r="D237" s="83" t="s">
        <v>897</v>
      </c>
      <c r="E237" s="83" t="s">
        <v>898</v>
      </c>
      <c r="F237" s="83" t="s">
        <v>899</v>
      </c>
      <c r="G237" s="83">
        <v>120</v>
      </c>
      <c r="H237" s="83" t="s">
        <v>753</v>
      </c>
      <c r="I237" s="85">
        <v>208</v>
      </c>
      <c r="J237" s="86">
        <v>37963</v>
      </c>
      <c r="K237" s="83"/>
    </row>
    <row r="238" s="17" customFormat="1" ht="26.25" customHeight="1" spans="1:11">
      <c r="A238" s="82">
        <f t="shared" si="3"/>
        <v>237</v>
      </c>
      <c r="B238" s="92" t="s">
        <v>993</v>
      </c>
      <c r="C238" s="83" t="s">
        <v>13</v>
      </c>
      <c r="D238" s="83" t="s">
        <v>897</v>
      </c>
      <c r="E238" s="83" t="s">
        <v>898</v>
      </c>
      <c r="F238" s="83" t="s">
        <v>899</v>
      </c>
      <c r="G238" s="83">
        <v>120</v>
      </c>
      <c r="H238" s="83" t="s">
        <v>753</v>
      </c>
      <c r="I238" s="85">
        <v>172</v>
      </c>
      <c r="J238" s="86">
        <v>37963</v>
      </c>
      <c r="K238" s="83"/>
    </row>
    <row r="239" s="17" customFormat="1" ht="26.25" customHeight="1" spans="1:11">
      <c r="A239" s="82">
        <f t="shared" si="3"/>
        <v>238</v>
      </c>
      <c r="B239" s="84" t="s">
        <v>994</v>
      </c>
      <c r="C239" s="83" t="s">
        <v>322</v>
      </c>
      <c r="D239" s="83" t="s">
        <v>750</v>
      </c>
      <c r="E239" s="83" t="s">
        <v>751</v>
      </c>
      <c r="F239" s="83" t="s">
        <v>752</v>
      </c>
      <c r="G239" s="83">
        <v>120</v>
      </c>
      <c r="H239" s="83" t="s">
        <v>753</v>
      </c>
      <c r="I239" s="85">
        <v>250</v>
      </c>
      <c r="J239" s="86">
        <v>37941</v>
      </c>
      <c r="K239" s="83"/>
    </row>
    <row r="240" s="17" customFormat="1" ht="26.25" customHeight="1" spans="1:11">
      <c r="A240" s="82">
        <f t="shared" si="3"/>
        <v>239</v>
      </c>
      <c r="B240" s="84" t="s">
        <v>995</v>
      </c>
      <c r="C240" s="83" t="s">
        <v>322</v>
      </c>
      <c r="D240" s="83" t="s">
        <v>750</v>
      </c>
      <c r="E240" s="83" t="s">
        <v>751</v>
      </c>
      <c r="F240" s="83" t="s">
        <v>752</v>
      </c>
      <c r="G240" s="83">
        <v>120</v>
      </c>
      <c r="H240" s="83" t="s">
        <v>753</v>
      </c>
      <c r="I240" s="85">
        <v>450</v>
      </c>
      <c r="J240" s="86">
        <v>37941</v>
      </c>
      <c r="K240" s="83"/>
    </row>
    <row r="241" s="17" customFormat="1" ht="26.25" customHeight="1" spans="1:11">
      <c r="A241" s="82">
        <f t="shared" si="3"/>
        <v>240</v>
      </c>
      <c r="B241" s="84" t="s">
        <v>996</v>
      </c>
      <c r="C241" s="83" t="s">
        <v>322</v>
      </c>
      <c r="D241" s="83" t="s">
        <v>750</v>
      </c>
      <c r="E241" s="83" t="s">
        <v>751</v>
      </c>
      <c r="F241" s="83" t="s">
        <v>752</v>
      </c>
      <c r="G241" s="83">
        <v>120</v>
      </c>
      <c r="H241" s="83" t="s">
        <v>753</v>
      </c>
      <c r="I241" s="85">
        <v>375</v>
      </c>
      <c r="J241" s="86">
        <v>37941</v>
      </c>
      <c r="K241" s="83"/>
    </row>
    <row r="242" s="17" customFormat="1" ht="26.25" customHeight="1" spans="1:11">
      <c r="A242" s="82">
        <f t="shared" si="3"/>
        <v>241</v>
      </c>
      <c r="B242" s="84" t="s">
        <v>997</v>
      </c>
      <c r="C242" s="83" t="s">
        <v>322</v>
      </c>
      <c r="D242" s="83" t="s">
        <v>750</v>
      </c>
      <c r="E242" s="83" t="s">
        <v>751</v>
      </c>
      <c r="F242" s="83" t="s">
        <v>752</v>
      </c>
      <c r="G242" s="83">
        <v>120</v>
      </c>
      <c r="H242" s="83" t="s">
        <v>753</v>
      </c>
      <c r="I242" s="85">
        <v>180</v>
      </c>
      <c r="J242" s="86">
        <v>37941</v>
      </c>
      <c r="K242" s="83"/>
    </row>
    <row r="243" s="17" customFormat="1" ht="26.25" customHeight="1" spans="1:11">
      <c r="A243" s="82">
        <f t="shared" si="3"/>
        <v>242</v>
      </c>
      <c r="B243" s="84" t="s">
        <v>998</v>
      </c>
      <c r="C243" s="83" t="s">
        <v>322</v>
      </c>
      <c r="D243" s="83" t="s">
        <v>750</v>
      </c>
      <c r="E243" s="83" t="s">
        <v>751</v>
      </c>
      <c r="F243" s="83" t="s">
        <v>752</v>
      </c>
      <c r="G243" s="83">
        <v>120</v>
      </c>
      <c r="H243" s="83" t="s">
        <v>753</v>
      </c>
      <c r="I243" s="85">
        <v>135</v>
      </c>
      <c r="J243" s="86">
        <v>37941</v>
      </c>
      <c r="K243" s="83"/>
    </row>
    <row r="244" s="17" customFormat="1" ht="26.25" customHeight="1" spans="1:11">
      <c r="A244" s="82">
        <f t="shared" si="3"/>
        <v>243</v>
      </c>
      <c r="B244" s="84" t="s">
        <v>999</v>
      </c>
      <c r="C244" s="83" t="s">
        <v>322</v>
      </c>
      <c r="D244" s="83" t="s">
        <v>750</v>
      </c>
      <c r="E244" s="83" t="s">
        <v>751</v>
      </c>
      <c r="F244" s="83" t="s">
        <v>752</v>
      </c>
      <c r="G244" s="83">
        <v>120</v>
      </c>
      <c r="H244" s="83" t="s">
        <v>753</v>
      </c>
      <c r="I244" s="85">
        <v>435</v>
      </c>
      <c r="J244" s="86">
        <v>37941</v>
      </c>
      <c r="K244" s="83"/>
    </row>
    <row r="245" s="17" customFormat="1" ht="26.25" customHeight="1" spans="1:11">
      <c r="A245" s="82">
        <f t="shared" si="3"/>
        <v>244</v>
      </c>
      <c r="B245" s="84" t="s">
        <v>1000</v>
      </c>
      <c r="C245" s="83" t="s">
        <v>322</v>
      </c>
      <c r="D245" s="83" t="s">
        <v>750</v>
      </c>
      <c r="E245" s="83" t="s">
        <v>751</v>
      </c>
      <c r="F245" s="83" t="s">
        <v>752</v>
      </c>
      <c r="G245" s="83">
        <v>120</v>
      </c>
      <c r="H245" s="83" t="s">
        <v>753</v>
      </c>
      <c r="I245" s="85">
        <v>300</v>
      </c>
      <c r="J245" s="86">
        <v>37941</v>
      </c>
      <c r="K245" s="83"/>
    </row>
    <row r="246" s="17" customFormat="1" ht="26.25" customHeight="1" spans="1:11">
      <c r="A246" s="82">
        <f t="shared" si="3"/>
        <v>245</v>
      </c>
      <c r="B246" s="84" t="s">
        <v>1001</v>
      </c>
      <c r="C246" s="83" t="s">
        <v>322</v>
      </c>
      <c r="D246" s="83" t="s">
        <v>750</v>
      </c>
      <c r="E246" s="83" t="s">
        <v>751</v>
      </c>
      <c r="F246" s="83" t="s">
        <v>752</v>
      </c>
      <c r="G246" s="83">
        <v>120</v>
      </c>
      <c r="H246" s="83" t="s">
        <v>753</v>
      </c>
      <c r="I246" s="85">
        <v>360</v>
      </c>
      <c r="J246" s="86">
        <v>37941</v>
      </c>
      <c r="K246" s="83"/>
    </row>
    <row r="247" s="17" customFormat="1" ht="26.25" customHeight="1" spans="1:11">
      <c r="A247" s="82">
        <f t="shared" si="3"/>
        <v>246</v>
      </c>
      <c r="B247" s="84" t="s">
        <v>1002</v>
      </c>
      <c r="C247" s="83" t="s">
        <v>322</v>
      </c>
      <c r="D247" s="83" t="s">
        <v>750</v>
      </c>
      <c r="E247" s="83" t="s">
        <v>751</v>
      </c>
      <c r="F247" s="83" t="s">
        <v>752</v>
      </c>
      <c r="G247" s="83">
        <v>120</v>
      </c>
      <c r="H247" s="83" t="s">
        <v>753</v>
      </c>
      <c r="I247" s="85">
        <v>90</v>
      </c>
      <c r="J247" s="86">
        <v>37941</v>
      </c>
      <c r="K247" s="83"/>
    </row>
    <row r="248" s="17" customFormat="1" ht="26.25" customHeight="1" spans="1:11">
      <c r="A248" s="82">
        <f t="shared" si="3"/>
        <v>247</v>
      </c>
      <c r="B248" s="84" t="s">
        <v>1003</v>
      </c>
      <c r="C248" s="83" t="s">
        <v>322</v>
      </c>
      <c r="D248" s="83" t="s">
        <v>750</v>
      </c>
      <c r="E248" s="83" t="s">
        <v>751</v>
      </c>
      <c r="F248" s="83" t="s">
        <v>752</v>
      </c>
      <c r="G248" s="83">
        <v>120</v>
      </c>
      <c r="H248" s="83" t="s">
        <v>753</v>
      </c>
      <c r="I248" s="85">
        <v>150</v>
      </c>
      <c r="J248" s="86">
        <v>37941</v>
      </c>
      <c r="K248" s="83"/>
    </row>
    <row r="249" s="17" customFormat="1" ht="26.25" customHeight="1" spans="1:11">
      <c r="A249" s="82">
        <f t="shared" si="3"/>
        <v>248</v>
      </c>
      <c r="B249" s="84" t="s">
        <v>1004</v>
      </c>
      <c r="C249" s="83" t="s">
        <v>322</v>
      </c>
      <c r="D249" s="83" t="s">
        <v>750</v>
      </c>
      <c r="E249" s="83" t="s">
        <v>751</v>
      </c>
      <c r="F249" s="83" t="s">
        <v>752</v>
      </c>
      <c r="G249" s="83">
        <v>120</v>
      </c>
      <c r="H249" s="83" t="s">
        <v>753</v>
      </c>
      <c r="I249" s="85">
        <v>375</v>
      </c>
      <c r="J249" s="86">
        <v>37941</v>
      </c>
      <c r="K249" s="83"/>
    </row>
    <row r="250" s="17" customFormat="1" ht="26.25" customHeight="1" spans="1:11">
      <c r="A250" s="82">
        <f t="shared" si="3"/>
        <v>249</v>
      </c>
      <c r="B250" s="84" t="s">
        <v>1005</v>
      </c>
      <c r="C250" s="83" t="s">
        <v>322</v>
      </c>
      <c r="D250" s="83" t="s">
        <v>750</v>
      </c>
      <c r="E250" s="83" t="s">
        <v>751</v>
      </c>
      <c r="F250" s="83" t="s">
        <v>752</v>
      </c>
      <c r="G250" s="83">
        <v>120</v>
      </c>
      <c r="H250" s="83" t="s">
        <v>753</v>
      </c>
      <c r="I250" s="85">
        <v>105</v>
      </c>
      <c r="J250" s="86">
        <v>37963</v>
      </c>
      <c r="K250" s="83"/>
    </row>
    <row r="251" s="17" customFormat="1" ht="26.25" customHeight="1" spans="1:11">
      <c r="A251" s="82">
        <f t="shared" si="3"/>
        <v>250</v>
      </c>
      <c r="B251" s="84" t="s">
        <v>1006</v>
      </c>
      <c r="C251" s="83" t="s">
        <v>322</v>
      </c>
      <c r="D251" s="83" t="s">
        <v>750</v>
      </c>
      <c r="E251" s="83" t="s">
        <v>751</v>
      </c>
      <c r="F251" s="83" t="s">
        <v>752</v>
      </c>
      <c r="G251" s="83">
        <v>120</v>
      </c>
      <c r="H251" s="83" t="s">
        <v>753</v>
      </c>
      <c r="I251" s="85">
        <v>985</v>
      </c>
      <c r="J251" s="86">
        <v>37963</v>
      </c>
      <c r="K251" s="83"/>
    </row>
    <row r="252" s="17" customFormat="1" ht="26.25" customHeight="1" spans="1:11">
      <c r="A252" s="82">
        <f t="shared" si="3"/>
        <v>251</v>
      </c>
      <c r="B252" s="84" t="s">
        <v>1007</v>
      </c>
      <c r="C252" s="83" t="s">
        <v>322</v>
      </c>
      <c r="D252" s="83" t="s">
        <v>750</v>
      </c>
      <c r="E252" s="83" t="s">
        <v>751</v>
      </c>
      <c r="F252" s="83" t="s">
        <v>752</v>
      </c>
      <c r="G252" s="83">
        <v>120</v>
      </c>
      <c r="H252" s="83" t="s">
        <v>753</v>
      </c>
      <c r="I252" s="85">
        <v>450</v>
      </c>
      <c r="J252" s="86">
        <v>37963</v>
      </c>
      <c r="K252" s="83"/>
    </row>
    <row r="253" s="17" customFormat="1" ht="26.25" customHeight="1" spans="1:11">
      <c r="A253" s="82">
        <f t="shared" si="3"/>
        <v>252</v>
      </c>
      <c r="B253" s="84" t="s">
        <v>1008</v>
      </c>
      <c r="C253" s="83" t="s">
        <v>322</v>
      </c>
      <c r="D253" s="83" t="s">
        <v>750</v>
      </c>
      <c r="E253" s="83" t="s">
        <v>751</v>
      </c>
      <c r="F253" s="83" t="s">
        <v>752</v>
      </c>
      <c r="G253" s="83">
        <v>120</v>
      </c>
      <c r="H253" s="83" t="s">
        <v>753</v>
      </c>
      <c r="I253" s="85">
        <v>655</v>
      </c>
      <c r="J253" s="86">
        <v>37963</v>
      </c>
      <c r="K253" s="83"/>
    </row>
    <row r="254" s="17" customFormat="1" ht="26.25" customHeight="1" spans="1:11">
      <c r="A254" s="82">
        <f t="shared" si="3"/>
        <v>253</v>
      </c>
      <c r="B254" s="84" t="s">
        <v>1009</v>
      </c>
      <c r="C254" s="83" t="s">
        <v>322</v>
      </c>
      <c r="D254" s="83" t="s">
        <v>750</v>
      </c>
      <c r="E254" s="83" t="s">
        <v>751</v>
      </c>
      <c r="F254" s="83" t="s">
        <v>752</v>
      </c>
      <c r="G254" s="83">
        <v>120</v>
      </c>
      <c r="H254" s="83" t="s">
        <v>753</v>
      </c>
      <c r="I254" s="85">
        <v>135</v>
      </c>
      <c r="J254" s="86">
        <v>37963</v>
      </c>
      <c r="K254" s="83"/>
    </row>
    <row r="255" s="17" customFormat="1" ht="26.25" customHeight="1" spans="1:11">
      <c r="A255" s="82">
        <f t="shared" si="3"/>
        <v>254</v>
      </c>
      <c r="B255" s="84" t="s">
        <v>1010</v>
      </c>
      <c r="C255" s="83" t="s">
        <v>322</v>
      </c>
      <c r="D255" s="83" t="s">
        <v>750</v>
      </c>
      <c r="E255" s="83" t="s">
        <v>751</v>
      </c>
      <c r="F255" s="83" t="s">
        <v>752</v>
      </c>
      <c r="G255" s="83">
        <v>120</v>
      </c>
      <c r="H255" s="83" t="s">
        <v>753</v>
      </c>
      <c r="I255" s="85">
        <v>60</v>
      </c>
      <c r="J255" s="86">
        <v>37963</v>
      </c>
      <c r="K255" s="83"/>
    </row>
    <row r="256" s="17" customFormat="1" ht="26.25" customHeight="1" spans="1:11">
      <c r="A256" s="82">
        <f t="shared" si="3"/>
        <v>255</v>
      </c>
      <c r="B256" s="84" t="s">
        <v>1011</v>
      </c>
      <c r="C256" s="83" t="s">
        <v>322</v>
      </c>
      <c r="D256" s="83" t="s">
        <v>750</v>
      </c>
      <c r="E256" s="83" t="s">
        <v>751</v>
      </c>
      <c r="F256" s="83" t="s">
        <v>752</v>
      </c>
      <c r="G256" s="83">
        <v>120</v>
      </c>
      <c r="H256" s="83" t="s">
        <v>753</v>
      </c>
      <c r="I256" s="85">
        <v>90</v>
      </c>
      <c r="J256" s="86">
        <v>37963</v>
      </c>
      <c r="K256" s="83"/>
    </row>
    <row r="257" s="17" customFormat="1" ht="26.25" customHeight="1" spans="1:11">
      <c r="A257" s="82">
        <f t="shared" si="3"/>
        <v>256</v>
      </c>
      <c r="B257" s="84" t="s">
        <v>1012</v>
      </c>
      <c r="C257" s="83" t="s">
        <v>322</v>
      </c>
      <c r="D257" s="83" t="s">
        <v>750</v>
      </c>
      <c r="E257" s="83" t="s">
        <v>751</v>
      </c>
      <c r="F257" s="83" t="s">
        <v>752</v>
      </c>
      <c r="G257" s="83">
        <v>120</v>
      </c>
      <c r="H257" s="83" t="s">
        <v>753</v>
      </c>
      <c r="I257" s="85">
        <v>340</v>
      </c>
      <c r="J257" s="86">
        <v>37963</v>
      </c>
      <c r="K257" s="83"/>
    </row>
    <row r="258" s="17" customFormat="1" ht="26.25" customHeight="1" spans="1:11">
      <c r="A258" s="82">
        <f t="shared" si="3"/>
        <v>257</v>
      </c>
      <c r="B258" s="84" t="s">
        <v>1013</v>
      </c>
      <c r="C258" s="83" t="s">
        <v>322</v>
      </c>
      <c r="D258" s="83" t="s">
        <v>750</v>
      </c>
      <c r="E258" s="83" t="s">
        <v>751</v>
      </c>
      <c r="F258" s="83" t="s">
        <v>752</v>
      </c>
      <c r="G258" s="83">
        <v>120</v>
      </c>
      <c r="H258" s="83" t="s">
        <v>753</v>
      </c>
      <c r="I258" s="85">
        <v>440</v>
      </c>
      <c r="J258" s="86">
        <v>37963</v>
      </c>
      <c r="K258" s="83"/>
    </row>
    <row r="259" s="17" customFormat="1" ht="26.25" customHeight="1" spans="1:11">
      <c r="A259" s="82">
        <f t="shared" si="3"/>
        <v>258</v>
      </c>
      <c r="B259" s="84" t="s">
        <v>1014</v>
      </c>
      <c r="C259" s="83" t="s">
        <v>322</v>
      </c>
      <c r="D259" s="83" t="s">
        <v>750</v>
      </c>
      <c r="E259" s="83" t="s">
        <v>751</v>
      </c>
      <c r="F259" s="83" t="s">
        <v>752</v>
      </c>
      <c r="G259" s="83">
        <v>120</v>
      </c>
      <c r="H259" s="83" t="s">
        <v>753</v>
      </c>
      <c r="I259" s="85">
        <v>360</v>
      </c>
      <c r="J259" s="86">
        <v>37963</v>
      </c>
      <c r="K259" s="83"/>
    </row>
    <row r="260" s="17" customFormat="1" ht="26.25" customHeight="1" spans="1:11">
      <c r="A260" s="82">
        <f t="shared" ref="A260:A323" si="4">ROW(B260)-1</f>
        <v>259</v>
      </c>
      <c r="B260" s="84" t="s">
        <v>1015</v>
      </c>
      <c r="C260" s="83" t="s">
        <v>322</v>
      </c>
      <c r="D260" s="83" t="s">
        <v>750</v>
      </c>
      <c r="E260" s="83" t="s">
        <v>751</v>
      </c>
      <c r="F260" s="83" t="s">
        <v>752</v>
      </c>
      <c r="G260" s="83">
        <v>120</v>
      </c>
      <c r="H260" s="83" t="s">
        <v>753</v>
      </c>
      <c r="I260" s="85">
        <v>105</v>
      </c>
      <c r="J260" s="86">
        <v>37963</v>
      </c>
      <c r="K260" s="83"/>
    </row>
    <row r="261" s="17" customFormat="1" ht="26.25" customHeight="1" spans="1:11">
      <c r="A261" s="82">
        <f t="shared" si="4"/>
        <v>260</v>
      </c>
      <c r="B261" s="84" t="s">
        <v>1016</v>
      </c>
      <c r="C261" s="83" t="s">
        <v>322</v>
      </c>
      <c r="D261" s="83" t="s">
        <v>750</v>
      </c>
      <c r="E261" s="83" t="s">
        <v>751</v>
      </c>
      <c r="F261" s="83" t="s">
        <v>752</v>
      </c>
      <c r="G261" s="83">
        <v>120</v>
      </c>
      <c r="H261" s="83" t="s">
        <v>753</v>
      </c>
      <c r="I261" s="85">
        <v>210</v>
      </c>
      <c r="J261" s="86">
        <v>37963</v>
      </c>
      <c r="K261" s="83"/>
    </row>
    <row r="262" s="17" customFormat="1" ht="26.25" customHeight="1" spans="1:11">
      <c r="A262" s="82">
        <f t="shared" si="4"/>
        <v>261</v>
      </c>
      <c r="B262" s="84" t="s">
        <v>1017</v>
      </c>
      <c r="C262" s="83" t="s">
        <v>322</v>
      </c>
      <c r="D262" s="83" t="s">
        <v>750</v>
      </c>
      <c r="E262" s="83" t="s">
        <v>751</v>
      </c>
      <c r="F262" s="83" t="s">
        <v>752</v>
      </c>
      <c r="G262" s="83">
        <v>120</v>
      </c>
      <c r="H262" s="83" t="s">
        <v>753</v>
      </c>
      <c r="I262" s="85">
        <v>180</v>
      </c>
      <c r="J262" s="86">
        <v>37963</v>
      </c>
      <c r="K262" s="83"/>
    </row>
    <row r="263" s="17" customFormat="1" ht="26.25" customHeight="1" spans="1:11">
      <c r="A263" s="82">
        <f t="shared" si="4"/>
        <v>262</v>
      </c>
      <c r="B263" s="84" t="s">
        <v>1018</v>
      </c>
      <c r="C263" s="83" t="s">
        <v>322</v>
      </c>
      <c r="D263" s="83" t="s">
        <v>750</v>
      </c>
      <c r="E263" s="83" t="s">
        <v>751</v>
      </c>
      <c r="F263" s="83" t="s">
        <v>752</v>
      </c>
      <c r="G263" s="83">
        <v>120</v>
      </c>
      <c r="H263" s="83" t="s">
        <v>753</v>
      </c>
      <c r="I263" s="85">
        <v>100</v>
      </c>
      <c r="J263" s="86">
        <v>37963</v>
      </c>
      <c r="K263" s="83"/>
    </row>
    <row r="264" s="17" customFormat="1" ht="26.25" customHeight="1" spans="1:11">
      <c r="A264" s="82">
        <f t="shared" si="4"/>
        <v>263</v>
      </c>
      <c r="B264" s="84" t="s">
        <v>1019</v>
      </c>
      <c r="C264" s="83" t="s">
        <v>322</v>
      </c>
      <c r="D264" s="83" t="s">
        <v>750</v>
      </c>
      <c r="E264" s="83" t="s">
        <v>751</v>
      </c>
      <c r="F264" s="83" t="s">
        <v>752</v>
      </c>
      <c r="G264" s="83">
        <v>120</v>
      </c>
      <c r="H264" s="83" t="s">
        <v>753</v>
      </c>
      <c r="I264" s="85">
        <v>765</v>
      </c>
      <c r="J264" s="86">
        <v>37963</v>
      </c>
      <c r="K264" s="83"/>
    </row>
    <row r="265" s="17" customFormat="1" ht="26.25" customHeight="1" spans="1:11">
      <c r="A265" s="82">
        <f t="shared" si="4"/>
        <v>264</v>
      </c>
      <c r="B265" s="84" t="s">
        <v>1020</v>
      </c>
      <c r="C265" s="83" t="s">
        <v>322</v>
      </c>
      <c r="D265" s="83" t="s">
        <v>750</v>
      </c>
      <c r="E265" s="83" t="s">
        <v>751</v>
      </c>
      <c r="F265" s="83" t="s">
        <v>752</v>
      </c>
      <c r="G265" s="83">
        <v>120</v>
      </c>
      <c r="H265" s="83" t="s">
        <v>753</v>
      </c>
      <c r="I265" s="85">
        <v>120</v>
      </c>
      <c r="J265" s="86">
        <v>37963</v>
      </c>
      <c r="K265" s="83"/>
    </row>
    <row r="266" s="17" customFormat="1" ht="26.25" customHeight="1" spans="1:11">
      <c r="A266" s="82">
        <f t="shared" si="4"/>
        <v>265</v>
      </c>
      <c r="B266" s="84" t="s">
        <v>1021</v>
      </c>
      <c r="C266" s="83" t="s">
        <v>322</v>
      </c>
      <c r="D266" s="83" t="s">
        <v>750</v>
      </c>
      <c r="E266" s="83" t="s">
        <v>751</v>
      </c>
      <c r="F266" s="83" t="s">
        <v>752</v>
      </c>
      <c r="G266" s="83">
        <v>120</v>
      </c>
      <c r="H266" s="83" t="s">
        <v>753</v>
      </c>
      <c r="I266" s="85">
        <v>60</v>
      </c>
      <c r="J266" s="86">
        <v>37963</v>
      </c>
      <c r="K266" s="83"/>
    </row>
    <row r="267" ht="26.25" customHeight="1" spans="1:11">
      <c r="A267" s="82">
        <f t="shared" si="4"/>
        <v>266</v>
      </c>
      <c r="B267" s="84" t="s">
        <v>1022</v>
      </c>
      <c r="C267" s="83" t="s">
        <v>322</v>
      </c>
      <c r="D267" s="83" t="s">
        <v>750</v>
      </c>
      <c r="E267" s="83" t="s">
        <v>751</v>
      </c>
      <c r="F267" s="83" t="s">
        <v>752</v>
      </c>
      <c r="G267" s="83">
        <v>120</v>
      </c>
      <c r="H267" s="83" t="s">
        <v>753</v>
      </c>
      <c r="I267" s="19">
        <v>56</v>
      </c>
      <c r="J267" s="86">
        <v>37963</v>
      </c>
      <c r="K267" s="83"/>
    </row>
    <row r="268" ht="26.25" customHeight="1" spans="1:11">
      <c r="A268" s="82">
        <f t="shared" si="4"/>
        <v>267</v>
      </c>
      <c r="B268" s="84" t="s">
        <v>1023</v>
      </c>
      <c r="C268" s="83" t="s">
        <v>322</v>
      </c>
      <c r="D268" s="83" t="s">
        <v>750</v>
      </c>
      <c r="E268" s="83" t="s">
        <v>751</v>
      </c>
      <c r="F268" s="83" t="s">
        <v>752</v>
      </c>
      <c r="G268" s="83">
        <v>120</v>
      </c>
      <c r="H268" s="83" t="s">
        <v>753</v>
      </c>
      <c r="I268" s="19">
        <v>32</v>
      </c>
      <c r="J268" s="86">
        <v>37963</v>
      </c>
      <c r="K268" s="83"/>
    </row>
    <row r="269" s="17" customFormat="1" ht="26.25" customHeight="1" spans="1:11">
      <c r="A269" s="82">
        <f t="shared" si="4"/>
        <v>268</v>
      </c>
      <c r="B269" s="84" t="s">
        <v>1024</v>
      </c>
      <c r="C269" s="83" t="s">
        <v>322</v>
      </c>
      <c r="D269" s="83" t="s">
        <v>750</v>
      </c>
      <c r="E269" s="83" t="s">
        <v>751</v>
      </c>
      <c r="F269" s="83" t="s">
        <v>752</v>
      </c>
      <c r="G269" s="83">
        <v>120</v>
      </c>
      <c r="H269" s="83" t="s">
        <v>753</v>
      </c>
      <c r="I269" s="19">
        <v>36</v>
      </c>
      <c r="J269" s="86">
        <v>37963</v>
      </c>
      <c r="K269" s="83"/>
    </row>
    <row r="270" s="17" customFormat="1" ht="26.25" customHeight="1" spans="1:11">
      <c r="A270" s="82">
        <f t="shared" si="4"/>
        <v>269</v>
      </c>
      <c r="B270" s="84" t="s">
        <v>1025</v>
      </c>
      <c r="C270" s="83" t="s">
        <v>322</v>
      </c>
      <c r="D270" s="83" t="s">
        <v>750</v>
      </c>
      <c r="E270" s="83" t="s">
        <v>751</v>
      </c>
      <c r="F270" s="83" t="s">
        <v>752</v>
      </c>
      <c r="G270" s="83">
        <v>120</v>
      </c>
      <c r="H270" s="83" t="s">
        <v>753</v>
      </c>
      <c r="I270" s="19">
        <v>36</v>
      </c>
      <c r="J270" s="86">
        <v>37963</v>
      </c>
      <c r="K270" s="83"/>
    </row>
    <row r="271" s="17" customFormat="1" ht="26.25" customHeight="1" spans="1:11">
      <c r="A271" s="82">
        <f t="shared" si="4"/>
        <v>270</v>
      </c>
      <c r="B271" s="84" t="s">
        <v>1026</v>
      </c>
      <c r="C271" s="83" t="s">
        <v>322</v>
      </c>
      <c r="D271" s="83" t="s">
        <v>750</v>
      </c>
      <c r="E271" s="83" t="s">
        <v>751</v>
      </c>
      <c r="F271" s="83" t="s">
        <v>752</v>
      </c>
      <c r="G271" s="83">
        <v>120</v>
      </c>
      <c r="H271" s="83" t="s">
        <v>753</v>
      </c>
      <c r="I271" s="19">
        <v>56</v>
      </c>
      <c r="J271" s="86">
        <v>37963</v>
      </c>
      <c r="K271" s="83"/>
    </row>
    <row r="272" s="17" customFormat="1" ht="26.25" customHeight="1" spans="1:11">
      <c r="A272" s="82">
        <f t="shared" si="4"/>
        <v>271</v>
      </c>
      <c r="B272" s="84" t="s">
        <v>1027</v>
      </c>
      <c r="C272" s="83" t="s">
        <v>322</v>
      </c>
      <c r="D272" s="83" t="s">
        <v>750</v>
      </c>
      <c r="E272" s="83" t="s">
        <v>751</v>
      </c>
      <c r="F272" s="83" t="s">
        <v>752</v>
      </c>
      <c r="G272" s="83">
        <v>120</v>
      </c>
      <c r="H272" s="83" t="s">
        <v>753</v>
      </c>
      <c r="I272" s="19">
        <v>32</v>
      </c>
      <c r="J272" s="86">
        <v>37963</v>
      </c>
      <c r="K272" s="83"/>
    </row>
    <row r="273" s="17" customFormat="1" ht="26.25" customHeight="1" spans="1:11">
      <c r="A273" s="82">
        <f t="shared" si="4"/>
        <v>272</v>
      </c>
      <c r="B273" s="84" t="s">
        <v>1028</v>
      </c>
      <c r="C273" s="83" t="s">
        <v>322</v>
      </c>
      <c r="D273" s="83" t="s">
        <v>750</v>
      </c>
      <c r="E273" s="83" t="s">
        <v>751</v>
      </c>
      <c r="F273" s="83" t="s">
        <v>752</v>
      </c>
      <c r="G273" s="83">
        <v>120</v>
      </c>
      <c r="H273" s="83" t="s">
        <v>753</v>
      </c>
      <c r="I273" s="19">
        <v>552</v>
      </c>
      <c r="J273" s="86">
        <v>37963</v>
      </c>
      <c r="K273" s="83"/>
    </row>
    <row r="274" s="17" customFormat="1" ht="26.25" customHeight="1" spans="1:11">
      <c r="A274" s="82">
        <f t="shared" si="4"/>
        <v>273</v>
      </c>
      <c r="B274" s="84" t="s">
        <v>1029</v>
      </c>
      <c r="C274" s="83" t="s">
        <v>322</v>
      </c>
      <c r="D274" s="83" t="s">
        <v>750</v>
      </c>
      <c r="E274" s="83" t="s">
        <v>751</v>
      </c>
      <c r="F274" s="83" t="s">
        <v>752</v>
      </c>
      <c r="G274" s="83">
        <v>120</v>
      </c>
      <c r="H274" s="83" t="s">
        <v>753</v>
      </c>
      <c r="I274" s="19">
        <v>196</v>
      </c>
      <c r="J274" s="86">
        <v>37963</v>
      </c>
      <c r="K274" s="83"/>
    </row>
    <row r="275" s="17" customFormat="1" ht="26.25" customHeight="1" spans="1:11">
      <c r="A275" s="82">
        <f t="shared" si="4"/>
        <v>274</v>
      </c>
      <c r="B275" s="84" t="s">
        <v>1030</v>
      </c>
      <c r="C275" s="83" t="s">
        <v>322</v>
      </c>
      <c r="D275" s="83" t="s">
        <v>750</v>
      </c>
      <c r="E275" s="83" t="s">
        <v>751</v>
      </c>
      <c r="F275" s="83" t="s">
        <v>752</v>
      </c>
      <c r="G275" s="83">
        <v>120</v>
      </c>
      <c r="H275" s="83" t="s">
        <v>753</v>
      </c>
      <c r="I275" s="19">
        <v>248</v>
      </c>
      <c r="J275" s="86">
        <v>37963</v>
      </c>
      <c r="K275" s="83"/>
    </row>
    <row r="276" s="17" customFormat="1" ht="26.25" customHeight="1" spans="1:11">
      <c r="A276" s="82">
        <f t="shared" si="4"/>
        <v>275</v>
      </c>
      <c r="B276" s="84" t="s">
        <v>1031</v>
      </c>
      <c r="C276" s="83" t="s">
        <v>322</v>
      </c>
      <c r="D276" s="83" t="s">
        <v>750</v>
      </c>
      <c r="E276" s="83" t="s">
        <v>751</v>
      </c>
      <c r="F276" s="83" t="s">
        <v>752</v>
      </c>
      <c r="G276" s="83">
        <v>120</v>
      </c>
      <c r="H276" s="83" t="s">
        <v>753</v>
      </c>
      <c r="I276" s="19">
        <v>324</v>
      </c>
      <c r="J276" s="86">
        <v>37963</v>
      </c>
      <c r="K276" s="83"/>
    </row>
    <row r="277" s="17" customFormat="1" ht="26.25" customHeight="1" spans="1:11">
      <c r="A277" s="82">
        <f t="shared" si="4"/>
        <v>276</v>
      </c>
      <c r="B277" s="84" t="s">
        <v>1032</v>
      </c>
      <c r="C277" s="83" t="s">
        <v>322</v>
      </c>
      <c r="D277" s="83" t="s">
        <v>750</v>
      </c>
      <c r="E277" s="83" t="s">
        <v>751</v>
      </c>
      <c r="F277" s="83" t="s">
        <v>752</v>
      </c>
      <c r="G277" s="83">
        <v>120</v>
      </c>
      <c r="H277" s="83" t="s">
        <v>753</v>
      </c>
      <c r="I277" s="19">
        <v>448</v>
      </c>
      <c r="J277" s="86">
        <v>37963</v>
      </c>
      <c r="K277" s="83"/>
    </row>
    <row r="278" s="17" customFormat="1" ht="26.25" customHeight="1" spans="1:11">
      <c r="A278" s="82">
        <f t="shared" si="4"/>
        <v>277</v>
      </c>
      <c r="B278" s="84" t="s">
        <v>1033</v>
      </c>
      <c r="C278" s="83" t="s">
        <v>322</v>
      </c>
      <c r="D278" s="83" t="s">
        <v>750</v>
      </c>
      <c r="E278" s="83" t="s">
        <v>751</v>
      </c>
      <c r="F278" s="83" t="s">
        <v>752</v>
      </c>
      <c r="G278" s="83">
        <v>120</v>
      </c>
      <c r="H278" s="83" t="s">
        <v>753</v>
      </c>
      <c r="I278" s="19">
        <v>68</v>
      </c>
      <c r="J278" s="86">
        <v>37963</v>
      </c>
      <c r="K278" s="83"/>
    </row>
    <row r="279" s="17" customFormat="1" ht="26.25" customHeight="1" spans="1:11">
      <c r="A279" s="82">
        <f t="shared" si="4"/>
        <v>278</v>
      </c>
      <c r="B279" s="84" t="s">
        <v>1034</v>
      </c>
      <c r="C279" s="83" t="s">
        <v>322</v>
      </c>
      <c r="D279" s="83" t="s">
        <v>750</v>
      </c>
      <c r="E279" s="83" t="s">
        <v>751</v>
      </c>
      <c r="F279" s="83" t="s">
        <v>752</v>
      </c>
      <c r="G279" s="83">
        <v>120</v>
      </c>
      <c r="H279" s="83" t="s">
        <v>753</v>
      </c>
      <c r="I279" s="19">
        <v>1064</v>
      </c>
      <c r="J279" s="86">
        <v>37963</v>
      </c>
      <c r="K279" s="83"/>
    </row>
    <row r="280" s="17" customFormat="1" ht="26.25" customHeight="1" spans="1:11">
      <c r="A280" s="82">
        <f t="shared" si="4"/>
        <v>279</v>
      </c>
      <c r="B280" s="84" t="s">
        <v>1035</v>
      </c>
      <c r="C280" s="83" t="s">
        <v>322</v>
      </c>
      <c r="D280" s="83" t="s">
        <v>750</v>
      </c>
      <c r="E280" s="83" t="s">
        <v>751</v>
      </c>
      <c r="F280" s="83" t="s">
        <v>752</v>
      </c>
      <c r="G280" s="83">
        <v>120</v>
      </c>
      <c r="H280" s="83" t="s">
        <v>753</v>
      </c>
      <c r="I280" s="19">
        <v>272</v>
      </c>
      <c r="J280" s="86">
        <v>37963</v>
      </c>
      <c r="K280" s="83"/>
    </row>
    <row r="281" s="17" customFormat="1" ht="26.25" customHeight="1" spans="1:11">
      <c r="A281" s="82">
        <f t="shared" si="4"/>
        <v>280</v>
      </c>
      <c r="B281" s="84" t="s">
        <v>1036</v>
      </c>
      <c r="C281" s="83" t="s">
        <v>322</v>
      </c>
      <c r="D281" s="83" t="s">
        <v>750</v>
      </c>
      <c r="E281" s="83" t="s">
        <v>751</v>
      </c>
      <c r="F281" s="83" t="s">
        <v>752</v>
      </c>
      <c r="G281" s="83">
        <v>120</v>
      </c>
      <c r="H281" s="83" t="s">
        <v>753</v>
      </c>
      <c r="I281" s="19">
        <v>673</v>
      </c>
      <c r="J281" s="86">
        <v>37963</v>
      </c>
      <c r="K281" s="83"/>
    </row>
    <row r="282" s="17" customFormat="1" ht="26.25" customHeight="1" spans="1:11">
      <c r="A282" s="82">
        <f t="shared" si="4"/>
        <v>281</v>
      </c>
      <c r="B282" s="84" t="s">
        <v>1037</v>
      </c>
      <c r="C282" s="83" t="s">
        <v>322</v>
      </c>
      <c r="D282" s="83" t="s">
        <v>750</v>
      </c>
      <c r="E282" s="83" t="s">
        <v>751</v>
      </c>
      <c r="F282" s="83" t="s">
        <v>752</v>
      </c>
      <c r="G282" s="83">
        <v>120</v>
      </c>
      <c r="H282" s="83" t="s">
        <v>753</v>
      </c>
      <c r="I282" s="19">
        <v>32</v>
      </c>
      <c r="J282" s="86">
        <v>37963</v>
      </c>
      <c r="K282" s="83"/>
    </row>
    <row r="283" s="17" customFormat="1" ht="26.25" customHeight="1" spans="1:11">
      <c r="A283" s="82">
        <f t="shared" si="4"/>
        <v>282</v>
      </c>
      <c r="B283" s="84" t="s">
        <v>1038</v>
      </c>
      <c r="C283" s="83" t="s">
        <v>322</v>
      </c>
      <c r="D283" s="83" t="s">
        <v>750</v>
      </c>
      <c r="E283" s="83" t="s">
        <v>751</v>
      </c>
      <c r="F283" s="83" t="s">
        <v>752</v>
      </c>
      <c r="G283" s="83">
        <v>120</v>
      </c>
      <c r="H283" s="83" t="s">
        <v>753</v>
      </c>
      <c r="I283" s="19">
        <v>424</v>
      </c>
      <c r="J283" s="86">
        <v>37963</v>
      </c>
      <c r="K283" s="83"/>
    </row>
    <row r="284" s="17" customFormat="1" ht="26.25" customHeight="1" spans="1:11">
      <c r="A284" s="82">
        <f t="shared" si="4"/>
        <v>283</v>
      </c>
      <c r="B284" s="84" t="s">
        <v>1039</v>
      </c>
      <c r="C284" s="83" t="s">
        <v>322</v>
      </c>
      <c r="D284" s="83" t="s">
        <v>750</v>
      </c>
      <c r="E284" s="83" t="s">
        <v>751</v>
      </c>
      <c r="F284" s="83" t="s">
        <v>752</v>
      </c>
      <c r="G284" s="83">
        <v>120</v>
      </c>
      <c r="H284" s="83" t="s">
        <v>753</v>
      </c>
      <c r="I284" s="19">
        <v>36</v>
      </c>
      <c r="J284" s="86">
        <v>37963</v>
      </c>
      <c r="K284" s="83"/>
    </row>
    <row r="285" s="17" customFormat="1" ht="26.25" customHeight="1" spans="1:11">
      <c r="A285" s="82">
        <f t="shared" si="4"/>
        <v>284</v>
      </c>
      <c r="B285" s="84" t="s">
        <v>1040</v>
      </c>
      <c r="C285" s="83" t="s">
        <v>322</v>
      </c>
      <c r="D285" s="83" t="s">
        <v>750</v>
      </c>
      <c r="E285" s="83" t="s">
        <v>751</v>
      </c>
      <c r="F285" s="83" t="s">
        <v>752</v>
      </c>
      <c r="G285" s="83">
        <v>120</v>
      </c>
      <c r="H285" s="83" t="s">
        <v>753</v>
      </c>
      <c r="I285" s="19">
        <v>448</v>
      </c>
      <c r="J285" s="86">
        <v>37963</v>
      </c>
      <c r="K285" s="83"/>
    </row>
    <row r="286" s="17" customFormat="1" ht="26.25" customHeight="1" spans="1:11">
      <c r="A286" s="82">
        <f t="shared" si="4"/>
        <v>285</v>
      </c>
      <c r="B286" s="84" t="s">
        <v>1041</v>
      </c>
      <c r="C286" s="83" t="s">
        <v>322</v>
      </c>
      <c r="D286" s="83" t="s">
        <v>750</v>
      </c>
      <c r="E286" s="83" t="s">
        <v>751</v>
      </c>
      <c r="F286" s="83" t="s">
        <v>752</v>
      </c>
      <c r="G286" s="83">
        <v>120</v>
      </c>
      <c r="H286" s="83" t="s">
        <v>753</v>
      </c>
      <c r="I286" s="19">
        <v>696</v>
      </c>
      <c r="J286" s="86">
        <v>37963</v>
      </c>
      <c r="K286" s="83"/>
    </row>
    <row r="287" s="17" customFormat="1" ht="26.25" customHeight="1" spans="1:11">
      <c r="A287" s="82">
        <f t="shared" si="4"/>
        <v>286</v>
      </c>
      <c r="B287" s="84" t="s">
        <v>1042</v>
      </c>
      <c r="C287" s="83" t="s">
        <v>322</v>
      </c>
      <c r="D287" s="83" t="s">
        <v>750</v>
      </c>
      <c r="E287" s="83" t="s">
        <v>751</v>
      </c>
      <c r="F287" s="83" t="s">
        <v>752</v>
      </c>
      <c r="G287" s="83">
        <v>120</v>
      </c>
      <c r="H287" s="83" t="s">
        <v>753</v>
      </c>
      <c r="I287" s="19">
        <v>476</v>
      </c>
      <c r="J287" s="86">
        <v>37963</v>
      </c>
      <c r="K287" s="83"/>
    </row>
    <row r="288" s="17" customFormat="1" ht="26.25" customHeight="1" spans="1:11">
      <c r="A288" s="82">
        <f t="shared" si="4"/>
        <v>287</v>
      </c>
      <c r="B288" s="84" t="s">
        <v>1043</v>
      </c>
      <c r="C288" s="83" t="s">
        <v>322</v>
      </c>
      <c r="D288" s="83" t="s">
        <v>750</v>
      </c>
      <c r="E288" s="83" t="s">
        <v>751</v>
      </c>
      <c r="F288" s="83" t="s">
        <v>752</v>
      </c>
      <c r="G288" s="83">
        <v>120</v>
      </c>
      <c r="H288" s="83" t="s">
        <v>753</v>
      </c>
      <c r="I288" s="19">
        <v>36</v>
      </c>
      <c r="J288" s="86">
        <v>37963</v>
      </c>
      <c r="K288" s="83"/>
    </row>
    <row r="289" s="17" customFormat="1" ht="26.25" customHeight="1" spans="1:11">
      <c r="A289" s="82">
        <f t="shared" si="4"/>
        <v>288</v>
      </c>
      <c r="B289" s="84" t="s">
        <v>1044</v>
      </c>
      <c r="C289" s="83" t="s">
        <v>322</v>
      </c>
      <c r="D289" s="83" t="s">
        <v>750</v>
      </c>
      <c r="E289" s="83" t="s">
        <v>751</v>
      </c>
      <c r="F289" s="83" t="s">
        <v>752</v>
      </c>
      <c r="G289" s="83">
        <v>120</v>
      </c>
      <c r="H289" s="83" t="s">
        <v>753</v>
      </c>
      <c r="I289" s="19">
        <v>444</v>
      </c>
      <c r="J289" s="86">
        <v>37963</v>
      </c>
      <c r="K289" s="83"/>
    </row>
    <row r="290" s="17" customFormat="1" ht="26.25" customHeight="1" spans="1:11">
      <c r="A290" s="82">
        <f t="shared" si="4"/>
        <v>289</v>
      </c>
      <c r="B290" s="84" t="s">
        <v>1045</v>
      </c>
      <c r="C290" s="83" t="s">
        <v>322</v>
      </c>
      <c r="D290" s="83" t="s">
        <v>750</v>
      </c>
      <c r="E290" s="83" t="s">
        <v>751</v>
      </c>
      <c r="F290" s="83" t="s">
        <v>752</v>
      </c>
      <c r="G290" s="83">
        <v>120</v>
      </c>
      <c r="H290" s="83" t="s">
        <v>753</v>
      </c>
      <c r="I290" s="19">
        <v>202</v>
      </c>
      <c r="J290" s="86">
        <v>37963</v>
      </c>
      <c r="K290" s="83"/>
    </row>
    <row r="291" s="17" customFormat="1" ht="26.25" customHeight="1" spans="1:11">
      <c r="A291" s="82">
        <f t="shared" si="4"/>
        <v>290</v>
      </c>
      <c r="B291" s="84" t="s">
        <v>1046</v>
      </c>
      <c r="C291" s="83" t="s">
        <v>322</v>
      </c>
      <c r="D291" s="83" t="s">
        <v>750</v>
      </c>
      <c r="E291" s="83" t="s">
        <v>751</v>
      </c>
      <c r="F291" s="83" t="s">
        <v>752</v>
      </c>
      <c r="G291" s="83">
        <v>120</v>
      </c>
      <c r="H291" s="83" t="s">
        <v>753</v>
      </c>
      <c r="I291" s="19">
        <v>320</v>
      </c>
      <c r="J291" s="86">
        <v>37963</v>
      </c>
      <c r="K291" s="83"/>
    </row>
    <row r="292" s="17" customFormat="1" ht="26.25" customHeight="1" spans="1:11">
      <c r="A292" s="82">
        <f t="shared" si="4"/>
        <v>291</v>
      </c>
      <c r="B292" s="84" t="s">
        <v>1047</v>
      </c>
      <c r="C292" s="83" t="s">
        <v>322</v>
      </c>
      <c r="D292" s="83" t="s">
        <v>750</v>
      </c>
      <c r="E292" s="83" t="s">
        <v>751</v>
      </c>
      <c r="F292" s="83" t="s">
        <v>752</v>
      </c>
      <c r="G292" s="83">
        <v>120</v>
      </c>
      <c r="H292" s="83" t="s">
        <v>753</v>
      </c>
      <c r="I292" s="19">
        <v>92</v>
      </c>
      <c r="J292" s="86">
        <v>37963</v>
      </c>
      <c r="K292" s="83"/>
    </row>
    <row r="293" s="17" customFormat="1" ht="26.25" customHeight="1" spans="1:11">
      <c r="A293" s="82">
        <f t="shared" si="4"/>
        <v>292</v>
      </c>
      <c r="B293" s="84" t="s">
        <v>1048</v>
      </c>
      <c r="C293" s="83" t="s">
        <v>322</v>
      </c>
      <c r="D293" s="83" t="s">
        <v>750</v>
      </c>
      <c r="E293" s="83" t="s">
        <v>751</v>
      </c>
      <c r="F293" s="83" t="s">
        <v>752</v>
      </c>
      <c r="G293" s="83">
        <v>120</v>
      </c>
      <c r="H293" s="83" t="s">
        <v>753</v>
      </c>
      <c r="I293" s="19">
        <f>56+136+300</f>
        <v>492</v>
      </c>
      <c r="J293" s="86">
        <v>37963</v>
      </c>
      <c r="K293" s="83"/>
    </row>
    <row r="294" s="17" customFormat="1" ht="26.25" customHeight="1" spans="1:11">
      <c r="A294" s="82">
        <f t="shared" si="4"/>
        <v>293</v>
      </c>
      <c r="B294" s="84" t="s">
        <v>1049</v>
      </c>
      <c r="C294" s="83" t="s">
        <v>322</v>
      </c>
      <c r="D294" s="83" t="s">
        <v>750</v>
      </c>
      <c r="E294" s="83" t="s">
        <v>751</v>
      </c>
      <c r="F294" s="83" t="s">
        <v>752</v>
      </c>
      <c r="G294" s="83">
        <v>120</v>
      </c>
      <c r="H294" s="83" t="s">
        <v>753</v>
      </c>
      <c r="I294" s="19">
        <v>356</v>
      </c>
      <c r="J294" s="86">
        <v>37963</v>
      </c>
      <c r="K294" s="83"/>
    </row>
    <row r="295" s="17" customFormat="1" ht="26.25" customHeight="1" spans="1:11">
      <c r="A295" s="82">
        <f t="shared" si="4"/>
        <v>294</v>
      </c>
      <c r="B295" s="84" t="s">
        <v>1050</v>
      </c>
      <c r="C295" s="83" t="s">
        <v>322</v>
      </c>
      <c r="D295" s="83" t="s">
        <v>750</v>
      </c>
      <c r="E295" s="83" t="s">
        <v>751</v>
      </c>
      <c r="F295" s="83" t="s">
        <v>752</v>
      </c>
      <c r="G295" s="83">
        <v>120</v>
      </c>
      <c r="H295" s="83" t="s">
        <v>753</v>
      </c>
      <c r="I295" s="19">
        <f>504+88</f>
        <v>592</v>
      </c>
      <c r="J295" s="86">
        <v>37963</v>
      </c>
      <c r="K295" s="83"/>
    </row>
    <row r="296" s="17" customFormat="1" ht="26.25" customHeight="1" spans="1:11">
      <c r="A296" s="82">
        <f t="shared" si="4"/>
        <v>295</v>
      </c>
      <c r="B296" s="84" t="s">
        <v>1051</v>
      </c>
      <c r="C296" s="83" t="s">
        <v>322</v>
      </c>
      <c r="D296" s="83" t="s">
        <v>750</v>
      </c>
      <c r="E296" s="83" t="s">
        <v>751</v>
      </c>
      <c r="F296" s="83" t="s">
        <v>752</v>
      </c>
      <c r="G296" s="83">
        <v>120</v>
      </c>
      <c r="H296" s="83" t="s">
        <v>753</v>
      </c>
      <c r="I296" s="19">
        <v>172</v>
      </c>
      <c r="J296" s="86">
        <v>37963</v>
      </c>
      <c r="K296" s="83"/>
    </row>
    <row r="297" s="17" customFormat="1" ht="26.25" customHeight="1" spans="1:11">
      <c r="A297" s="82">
        <f t="shared" si="4"/>
        <v>296</v>
      </c>
      <c r="B297" s="84" t="s">
        <v>1052</v>
      </c>
      <c r="C297" s="83" t="s">
        <v>322</v>
      </c>
      <c r="D297" s="83" t="s">
        <v>750</v>
      </c>
      <c r="E297" s="83" t="s">
        <v>751</v>
      </c>
      <c r="F297" s="83" t="s">
        <v>752</v>
      </c>
      <c r="G297" s="83">
        <v>120</v>
      </c>
      <c r="H297" s="83" t="s">
        <v>753</v>
      </c>
      <c r="I297" s="19">
        <v>20</v>
      </c>
      <c r="J297" s="86">
        <v>37963</v>
      </c>
      <c r="K297" s="83"/>
    </row>
    <row r="298" s="17" customFormat="1" ht="26.25" customHeight="1" spans="1:11">
      <c r="A298" s="82">
        <f t="shared" si="4"/>
        <v>297</v>
      </c>
      <c r="B298" s="84" t="s">
        <v>1053</v>
      </c>
      <c r="C298" s="83" t="s">
        <v>322</v>
      </c>
      <c r="D298" s="83" t="s">
        <v>750</v>
      </c>
      <c r="E298" s="83" t="s">
        <v>751</v>
      </c>
      <c r="F298" s="83" t="s">
        <v>752</v>
      </c>
      <c r="G298" s="83">
        <v>120</v>
      </c>
      <c r="H298" s="83" t="s">
        <v>753</v>
      </c>
      <c r="I298" s="19">
        <v>52</v>
      </c>
      <c r="J298" s="86">
        <v>37963</v>
      </c>
      <c r="K298" s="83"/>
    </row>
    <row r="299" s="17" customFormat="1" ht="26.25" customHeight="1" spans="1:11">
      <c r="A299" s="82">
        <f t="shared" si="4"/>
        <v>298</v>
      </c>
      <c r="B299" s="84" t="s">
        <v>1054</v>
      </c>
      <c r="C299" s="83" t="s">
        <v>322</v>
      </c>
      <c r="D299" s="83" t="s">
        <v>750</v>
      </c>
      <c r="E299" s="83" t="s">
        <v>751</v>
      </c>
      <c r="F299" s="83" t="s">
        <v>752</v>
      </c>
      <c r="G299" s="83">
        <v>120</v>
      </c>
      <c r="H299" s="83" t="s">
        <v>753</v>
      </c>
      <c r="I299" s="19">
        <v>60</v>
      </c>
      <c r="J299" s="86">
        <v>37963</v>
      </c>
      <c r="K299" s="83"/>
    </row>
    <row r="300" s="17" customFormat="1" ht="26.25" customHeight="1" spans="1:11">
      <c r="A300" s="82">
        <f t="shared" si="4"/>
        <v>299</v>
      </c>
      <c r="B300" s="84" t="s">
        <v>1055</v>
      </c>
      <c r="C300" s="83" t="s">
        <v>322</v>
      </c>
      <c r="D300" s="83" t="s">
        <v>750</v>
      </c>
      <c r="E300" s="83" t="s">
        <v>751</v>
      </c>
      <c r="F300" s="83" t="s">
        <v>752</v>
      </c>
      <c r="G300" s="83">
        <v>120</v>
      </c>
      <c r="H300" s="83" t="s">
        <v>753</v>
      </c>
      <c r="I300" s="19">
        <v>92</v>
      </c>
      <c r="J300" s="86">
        <v>37963</v>
      </c>
      <c r="K300" s="83"/>
    </row>
    <row r="301" s="17" customFormat="1" ht="26.25" customHeight="1" spans="1:11">
      <c r="A301" s="82">
        <f t="shared" si="4"/>
        <v>300</v>
      </c>
      <c r="B301" s="84" t="s">
        <v>1056</v>
      </c>
      <c r="C301" s="83" t="s">
        <v>322</v>
      </c>
      <c r="D301" s="83" t="s">
        <v>750</v>
      </c>
      <c r="E301" s="83" t="s">
        <v>751</v>
      </c>
      <c r="F301" s="83" t="s">
        <v>752</v>
      </c>
      <c r="G301" s="83">
        <v>120</v>
      </c>
      <c r="H301" s="83" t="s">
        <v>753</v>
      </c>
      <c r="I301" s="19">
        <v>12</v>
      </c>
      <c r="J301" s="86">
        <v>37963</v>
      </c>
      <c r="K301" s="83"/>
    </row>
    <row r="302" s="17" customFormat="1" ht="26.25" customHeight="1" spans="1:11">
      <c r="A302" s="82">
        <f t="shared" si="4"/>
        <v>301</v>
      </c>
      <c r="B302" s="84" t="s">
        <v>1057</v>
      </c>
      <c r="C302" s="83" t="s">
        <v>322</v>
      </c>
      <c r="D302" s="83" t="s">
        <v>750</v>
      </c>
      <c r="E302" s="83" t="s">
        <v>751</v>
      </c>
      <c r="F302" s="83" t="s">
        <v>752</v>
      </c>
      <c r="G302" s="83">
        <v>120</v>
      </c>
      <c r="H302" s="83" t="s">
        <v>753</v>
      </c>
      <c r="I302" s="19">
        <v>70</v>
      </c>
      <c r="J302" s="86">
        <v>37963</v>
      </c>
      <c r="K302" s="83"/>
    </row>
    <row r="303" s="17" customFormat="1" ht="26.25" customHeight="1" spans="1:11">
      <c r="A303" s="82">
        <f t="shared" si="4"/>
        <v>302</v>
      </c>
      <c r="B303" s="84" t="s">
        <v>1058</v>
      </c>
      <c r="C303" s="83" t="s">
        <v>322</v>
      </c>
      <c r="D303" s="83" t="s">
        <v>750</v>
      </c>
      <c r="E303" s="83" t="s">
        <v>751</v>
      </c>
      <c r="F303" s="83" t="s">
        <v>752</v>
      </c>
      <c r="G303" s="83">
        <v>120</v>
      </c>
      <c r="H303" s="83" t="s">
        <v>753</v>
      </c>
      <c r="I303" s="83">
        <v>60</v>
      </c>
      <c r="J303" s="86">
        <v>37963</v>
      </c>
      <c r="K303" s="83"/>
    </row>
    <row r="304" s="17" customFormat="1" ht="26.25" customHeight="1" spans="1:11">
      <c r="A304" s="82">
        <f t="shared" si="4"/>
        <v>303</v>
      </c>
      <c r="B304" s="84" t="s">
        <v>1059</v>
      </c>
      <c r="C304" s="83" t="s">
        <v>322</v>
      </c>
      <c r="D304" s="83" t="s">
        <v>750</v>
      </c>
      <c r="E304" s="83" t="s">
        <v>751</v>
      </c>
      <c r="F304" s="83" t="s">
        <v>752</v>
      </c>
      <c r="G304" s="83">
        <v>120</v>
      </c>
      <c r="H304" s="83" t="s">
        <v>753</v>
      </c>
      <c r="I304" s="83">
        <v>372</v>
      </c>
      <c r="J304" s="86">
        <v>37963</v>
      </c>
      <c r="K304" s="83"/>
    </row>
    <row r="305" s="17" customFormat="1" ht="26.25" customHeight="1" spans="1:11">
      <c r="A305" s="82">
        <f t="shared" si="4"/>
        <v>304</v>
      </c>
      <c r="B305" s="84" t="s">
        <v>1060</v>
      </c>
      <c r="C305" s="83" t="s">
        <v>322</v>
      </c>
      <c r="D305" s="83" t="s">
        <v>750</v>
      </c>
      <c r="E305" s="83" t="s">
        <v>751</v>
      </c>
      <c r="F305" s="83" t="s">
        <v>752</v>
      </c>
      <c r="G305" s="83">
        <v>120</v>
      </c>
      <c r="H305" s="83" t="s">
        <v>753</v>
      </c>
      <c r="I305" s="83">
        <v>3338</v>
      </c>
      <c r="J305" s="86">
        <v>37963</v>
      </c>
      <c r="K305" s="83"/>
    </row>
    <row r="306" s="17" customFormat="1" ht="26.25" customHeight="1" spans="1:11">
      <c r="A306" s="82">
        <f t="shared" si="4"/>
        <v>305</v>
      </c>
      <c r="B306" s="84" t="s">
        <v>1061</v>
      </c>
      <c r="C306" s="83" t="s">
        <v>322</v>
      </c>
      <c r="D306" s="83" t="s">
        <v>750</v>
      </c>
      <c r="E306" s="83" t="s">
        <v>751</v>
      </c>
      <c r="F306" s="83" t="s">
        <v>752</v>
      </c>
      <c r="G306" s="83">
        <v>120</v>
      </c>
      <c r="H306" s="83" t="s">
        <v>753</v>
      </c>
      <c r="I306" s="83">
        <v>380</v>
      </c>
      <c r="J306" s="86">
        <v>37963</v>
      </c>
      <c r="K306" s="83"/>
    </row>
    <row r="307" s="17" customFormat="1" ht="26.25" customHeight="1" spans="1:11">
      <c r="A307" s="82">
        <f t="shared" si="4"/>
        <v>306</v>
      </c>
      <c r="B307" s="84" t="s">
        <v>1062</v>
      </c>
      <c r="C307" s="83" t="s">
        <v>322</v>
      </c>
      <c r="D307" s="83" t="s">
        <v>750</v>
      </c>
      <c r="E307" s="83" t="s">
        <v>751</v>
      </c>
      <c r="F307" s="83" t="s">
        <v>752</v>
      </c>
      <c r="G307" s="83">
        <v>120</v>
      </c>
      <c r="H307" s="83" t="s">
        <v>753</v>
      </c>
      <c r="I307" s="83">
        <v>202</v>
      </c>
      <c r="J307" s="86">
        <v>37963</v>
      </c>
      <c r="K307" s="83"/>
    </row>
    <row r="308" s="17" customFormat="1" ht="26.25" customHeight="1" spans="1:11">
      <c r="A308" s="82">
        <f t="shared" si="4"/>
        <v>307</v>
      </c>
      <c r="B308" s="84" t="s">
        <v>1063</v>
      </c>
      <c r="C308" s="83" t="s">
        <v>322</v>
      </c>
      <c r="D308" s="83" t="s">
        <v>750</v>
      </c>
      <c r="E308" s="83" t="s">
        <v>751</v>
      </c>
      <c r="F308" s="83" t="s">
        <v>752</v>
      </c>
      <c r="G308" s="83">
        <v>120</v>
      </c>
      <c r="H308" s="83" t="s">
        <v>753</v>
      </c>
      <c r="I308" s="83">
        <v>1332</v>
      </c>
      <c r="J308" s="86">
        <v>37963</v>
      </c>
      <c r="K308" s="83"/>
    </row>
    <row r="309" s="17" customFormat="1" ht="26.25" customHeight="1" spans="1:11">
      <c r="A309" s="82">
        <f t="shared" si="4"/>
        <v>308</v>
      </c>
      <c r="B309" s="84" t="s">
        <v>1064</v>
      </c>
      <c r="C309" s="83" t="s">
        <v>322</v>
      </c>
      <c r="D309" s="83" t="s">
        <v>750</v>
      </c>
      <c r="E309" s="83" t="s">
        <v>751</v>
      </c>
      <c r="F309" s="83" t="s">
        <v>752</v>
      </c>
      <c r="G309" s="83">
        <v>120</v>
      </c>
      <c r="H309" s="83" t="s">
        <v>753</v>
      </c>
      <c r="I309" s="83">
        <v>12</v>
      </c>
      <c r="J309" s="86">
        <v>37963</v>
      </c>
      <c r="K309" s="83"/>
    </row>
    <row r="310" s="17" customFormat="1" ht="26.25" customHeight="1" spans="1:11">
      <c r="A310" s="82">
        <f t="shared" si="4"/>
        <v>309</v>
      </c>
      <c r="B310" s="84" t="s">
        <v>1065</v>
      </c>
      <c r="C310" s="83" t="s">
        <v>322</v>
      </c>
      <c r="D310" s="83" t="s">
        <v>750</v>
      </c>
      <c r="E310" s="83" t="s">
        <v>751</v>
      </c>
      <c r="F310" s="83" t="s">
        <v>752</v>
      </c>
      <c r="G310" s="83">
        <v>120</v>
      </c>
      <c r="H310" s="83" t="s">
        <v>753</v>
      </c>
      <c r="I310" s="83">
        <v>12</v>
      </c>
      <c r="J310" s="86">
        <v>37963</v>
      </c>
      <c r="K310" s="83"/>
    </row>
    <row r="311" s="17" customFormat="1" ht="26.25" customHeight="1" spans="1:11">
      <c r="A311" s="82">
        <f t="shared" si="4"/>
        <v>310</v>
      </c>
      <c r="B311" s="84" t="s">
        <v>1066</v>
      </c>
      <c r="C311" s="83" t="s">
        <v>322</v>
      </c>
      <c r="D311" s="83" t="s">
        <v>750</v>
      </c>
      <c r="E311" s="83" t="s">
        <v>751</v>
      </c>
      <c r="F311" s="83" t="s">
        <v>752</v>
      </c>
      <c r="G311" s="83">
        <v>120</v>
      </c>
      <c r="H311" s="83" t="s">
        <v>753</v>
      </c>
      <c r="I311" s="83">
        <v>68</v>
      </c>
      <c r="J311" s="86">
        <v>37963</v>
      </c>
      <c r="K311" s="83"/>
    </row>
    <row r="312" s="17" customFormat="1" ht="26.25" customHeight="1" spans="1:11">
      <c r="A312" s="82">
        <f t="shared" si="4"/>
        <v>311</v>
      </c>
      <c r="B312" s="84" t="s">
        <v>1067</v>
      </c>
      <c r="C312" s="83" t="s">
        <v>322</v>
      </c>
      <c r="D312" s="83" t="s">
        <v>750</v>
      </c>
      <c r="E312" s="83" t="s">
        <v>751</v>
      </c>
      <c r="F312" s="83" t="s">
        <v>752</v>
      </c>
      <c r="G312" s="83">
        <v>120</v>
      </c>
      <c r="H312" s="83" t="s">
        <v>753</v>
      </c>
      <c r="I312" s="83">
        <v>12</v>
      </c>
      <c r="J312" s="86">
        <v>37963</v>
      </c>
      <c r="K312" s="83"/>
    </row>
    <row r="313" s="17" customFormat="1" ht="26.25" customHeight="1" spans="1:11">
      <c r="A313" s="82">
        <f t="shared" si="4"/>
        <v>312</v>
      </c>
      <c r="B313" s="84" t="s">
        <v>1068</v>
      </c>
      <c r="C313" s="83" t="s">
        <v>322</v>
      </c>
      <c r="D313" s="83" t="s">
        <v>750</v>
      </c>
      <c r="E313" s="83" t="s">
        <v>751</v>
      </c>
      <c r="F313" s="83" t="s">
        <v>752</v>
      </c>
      <c r="G313" s="83">
        <v>120</v>
      </c>
      <c r="H313" s="83" t="s">
        <v>753</v>
      </c>
      <c r="I313" s="83">
        <v>12</v>
      </c>
      <c r="J313" s="86">
        <v>37963</v>
      </c>
      <c r="K313" s="83"/>
    </row>
    <row r="314" s="17" customFormat="1" ht="26.25" customHeight="1" spans="1:11">
      <c r="A314" s="82">
        <f t="shared" si="4"/>
        <v>313</v>
      </c>
      <c r="B314" s="84" t="s">
        <v>1069</v>
      </c>
      <c r="C314" s="83" t="s">
        <v>322</v>
      </c>
      <c r="D314" s="83" t="s">
        <v>750</v>
      </c>
      <c r="E314" s="83" t="s">
        <v>751</v>
      </c>
      <c r="F314" s="83" t="s">
        <v>752</v>
      </c>
      <c r="G314" s="83">
        <v>120</v>
      </c>
      <c r="H314" s="83" t="s">
        <v>753</v>
      </c>
      <c r="I314" s="83">
        <v>1116</v>
      </c>
      <c r="J314" s="86">
        <v>37963</v>
      </c>
      <c r="K314" s="83"/>
    </row>
    <row r="315" s="17" customFormat="1" ht="26.25" customHeight="1" spans="1:11">
      <c r="A315" s="82">
        <f t="shared" si="4"/>
        <v>314</v>
      </c>
      <c r="B315" s="84" t="s">
        <v>1070</v>
      </c>
      <c r="C315" s="83" t="s">
        <v>322</v>
      </c>
      <c r="D315" s="83" t="s">
        <v>750</v>
      </c>
      <c r="E315" s="83" t="s">
        <v>751</v>
      </c>
      <c r="F315" s="83" t="s">
        <v>752</v>
      </c>
      <c r="G315" s="83">
        <v>120</v>
      </c>
      <c r="H315" s="83" t="s">
        <v>753</v>
      </c>
      <c r="I315" s="83">
        <v>448</v>
      </c>
      <c r="J315" s="86">
        <v>37963</v>
      </c>
      <c r="K315" s="83"/>
    </row>
    <row r="316" s="17" customFormat="1" ht="26.25" customHeight="1" spans="1:11">
      <c r="A316" s="82">
        <f t="shared" si="4"/>
        <v>315</v>
      </c>
      <c r="B316" s="84" t="s">
        <v>1071</v>
      </c>
      <c r="C316" s="83" t="s">
        <v>322</v>
      </c>
      <c r="D316" s="83" t="s">
        <v>750</v>
      </c>
      <c r="E316" s="83" t="s">
        <v>751</v>
      </c>
      <c r="F316" s="83" t="s">
        <v>752</v>
      </c>
      <c r="G316" s="83">
        <v>120</v>
      </c>
      <c r="H316" s="83" t="s">
        <v>753</v>
      </c>
      <c r="I316" s="83">
        <v>138</v>
      </c>
      <c r="J316" s="86">
        <v>37963</v>
      </c>
      <c r="K316" s="83"/>
    </row>
    <row r="317" s="17" customFormat="1" ht="26.25" customHeight="1" spans="1:11">
      <c r="A317" s="82">
        <f t="shared" si="4"/>
        <v>316</v>
      </c>
      <c r="B317" s="84" t="s">
        <v>1072</v>
      </c>
      <c r="C317" s="83" t="s">
        <v>322</v>
      </c>
      <c r="D317" s="83" t="s">
        <v>750</v>
      </c>
      <c r="E317" s="83" t="s">
        <v>751</v>
      </c>
      <c r="F317" s="83" t="s">
        <v>752</v>
      </c>
      <c r="G317" s="83">
        <v>120</v>
      </c>
      <c r="H317" s="83" t="s">
        <v>753</v>
      </c>
      <c r="I317" s="83">
        <v>412</v>
      </c>
      <c r="J317" s="86">
        <v>37963</v>
      </c>
      <c r="K317" s="83"/>
    </row>
    <row r="318" s="17" customFormat="1" ht="26.25" customHeight="1" spans="1:11">
      <c r="A318" s="82">
        <f t="shared" si="4"/>
        <v>317</v>
      </c>
      <c r="B318" s="84" t="s">
        <v>1073</v>
      </c>
      <c r="C318" s="83" t="s">
        <v>322</v>
      </c>
      <c r="D318" s="83" t="s">
        <v>750</v>
      </c>
      <c r="E318" s="83" t="s">
        <v>751</v>
      </c>
      <c r="F318" s="83" t="s">
        <v>752</v>
      </c>
      <c r="G318" s="83">
        <v>120</v>
      </c>
      <c r="H318" s="83" t="s">
        <v>753</v>
      </c>
      <c r="I318" s="83">
        <v>384</v>
      </c>
      <c r="J318" s="86">
        <v>37963</v>
      </c>
      <c r="K318" s="83"/>
    </row>
    <row r="319" s="17" customFormat="1" ht="26.25" customHeight="1" spans="1:11">
      <c r="A319" s="82">
        <f t="shared" si="4"/>
        <v>318</v>
      </c>
      <c r="B319" s="84" t="s">
        <v>1074</v>
      </c>
      <c r="C319" s="83" t="s">
        <v>322</v>
      </c>
      <c r="D319" s="83" t="s">
        <v>750</v>
      </c>
      <c r="E319" s="83" t="s">
        <v>751</v>
      </c>
      <c r="F319" s="83" t="s">
        <v>752</v>
      </c>
      <c r="G319" s="83">
        <v>120</v>
      </c>
      <c r="H319" s="83" t="s">
        <v>753</v>
      </c>
      <c r="I319" s="83">
        <v>204</v>
      </c>
      <c r="J319" s="86">
        <v>37963</v>
      </c>
      <c r="K319" s="83"/>
    </row>
    <row r="320" s="17" customFormat="1" ht="26.25" customHeight="1" spans="1:11">
      <c r="A320" s="82">
        <f t="shared" si="4"/>
        <v>319</v>
      </c>
      <c r="B320" s="84" t="s">
        <v>1075</v>
      </c>
      <c r="C320" s="83" t="s">
        <v>322</v>
      </c>
      <c r="D320" s="83" t="s">
        <v>750</v>
      </c>
      <c r="E320" s="83" t="s">
        <v>751</v>
      </c>
      <c r="F320" s="83" t="s">
        <v>752</v>
      </c>
      <c r="G320" s="83">
        <v>120</v>
      </c>
      <c r="H320" s="83" t="s">
        <v>753</v>
      </c>
      <c r="I320" s="83">
        <v>230</v>
      </c>
      <c r="J320" s="86">
        <v>37963</v>
      </c>
      <c r="K320" s="83"/>
    </row>
    <row r="321" s="17" customFormat="1" ht="26.25" customHeight="1" spans="1:11">
      <c r="A321" s="82">
        <f t="shared" si="4"/>
        <v>320</v>
      </c>
      <c r="B321" s="84" t="s">
        <v>1076</v>
      </c>
      <c r="C321" s="83" t="s">
        <v>322</v>
      </c>
      <c r="D321" s="83" t="s">
        <v>750</v>
      </c>
      <c r="E321" s="83" t="s">
        <v>751</v>
      </c>
      <c r="F321" s="83" t="s">
        <v>752</v>
      </c>
      <c r="G321" s="83">
        <v>120</v>
      </c>
      <c r="H321" s="83" t="s">
        <v>753</v>
      </c>
      <c r="I321" s="83">
        <v>150</v>
      </c>
      <c r="J321" s="86">
        <v>37963</v>
      </c>
      <c r="K321" s="83"/>
    </row>
    <row r="322" s="17" customFormat="1" ht="26.25" customHeight="1" spans="1:11">
      <c r="A322" s="82">
        <f t="shared" si="4"/>
        <v>321</v>
      </c>
      <c r="B322" s="84" t="s">
        <v>1077</v>
      </c>
      <c r="C322" s="83" t="s">
        <v>322</v>
      </c>
      <c r="D322" s="83" t="s">
        <v>750</v>
      </c>
      <c r="E322" s="83" t="s">
        <v>751</v>
      </c>
      <c r="F322" s="83" t="s">
        <v>752</v>
      </c>
      <c r="G322" s="83">
        <v>120</v>
      </c>
      <c r="H322" s="83" t="s">
        <v>753</v>
      </c>
      <c r="I322" s="83">
        <v>240</v>
      </c>
      <c r="J322" s="86">
        <v>37963</v>
      </c>
      <c r="K322" s="83"/>
    </row>
    <row r="323" s="17" customFormat="1" ht="26.25" customHeight="1" spans="1:11">
      <c r="A323" s="82">
        <f t="shared" si="4"/>
        <v>322</v>
      </c>
      <c r="B323" s="84" t="s">
        <v>1078</v>
      </c>
      <c r="C323" s="83" t="s">
        <v>322</v>
      </c>
      <c r="D323" s="83" t="s">
        <v>750</v>
      </c>
      <c r="E323" s="83" t="s">
        <v>751</v>
      </c>
      <c r="F323" s="83" t="s">
        <v>752</v>
      </c>
      <c r="G323" s="83">
        <v>120</v>
      </c>
      <c r="H323" s="83" t="s">
        <v>753</v>
      </c>
      <c r="I323" s="83">
        <v>240</v>
      </c>
      <c r="J323" s="86">
        <v>37963</v>
      </c>
      <c r="K323" s="83"/>
    </row>
    <row r="324" s="17" customFormat="1" ht="26.25" customHeight="1" spans="1:11">
      <c r="A324" s="82">
        <f t="shared" ref="A324:A387" si="5">ROW(B324)-1</f>
        <v>323</v>
      </c>
      <c r="B324" s="84" t="s">
        <v>1079</v>
      </c>
      <c r="C324" s="83" t="s">
        <v>322</v>
      </c>
      <c r="D324" s="83" t="s">
        <v>750</v>
      </c>
      <c r="E324" s="83" t="s">
        <v>751</v>
      </c>
      <c r="F324" s="83" t="s">
        <v>752</v>
      </c>
      <c r="G324" s="83">
        <v>120</v>
      </c>
      <c r="H324" s="83" t="s">
        <v>753</v>
      </c>
      <c r="I324" s="83">
        <v>368</v>
      </c>
      <c r="J324" s="86">
        <v>37963</v>
      </c>
      <c r="K324" s="83"/>
    </row>
    <row r="325" s="17" customFormat="1" ht="26.25" customHeight="1" spans="1:11">
      <c r="A325" s="82">
        <f t="shared" si="5"/>
        <v>324</v>
      </c>
      <c r="B325" s="84" t="s">
        <v>1080</v>
      </c>
      <c r="C325" s="83" t="s">
        <v>322</v>
      </c>
      <c r="D325" s="83" t="s">
        <v>750</v>
      </c>
      <c r="E325" s="83" t="s">
        <v>751</v>
      </c>
      <c r="F325" s="83" t="s">
        <v>752</v>
      </c>
      <c r="G325" s="83">
        <v>120</v>
      </c>
      <c r="H325" s="83" t="s">
        <v>753</v>
      </c>
      <c r="I325" s="83">
        <v>240</v>
      </c>
      <c r="J325" s="86">
        <v>37963</v>
      </c>
      <c r="K325" s="83"/>
    </row>
    <row r="326" s="17" customFormat="1" ht="26.25" customHeight="1" spans="1:11">
      <c r="A326" s="82">
        <f t="shared" si="5"/>
        <v>325</v>
      </c>
      <c r="B326" s="84" t="s">
        <v>1081</v>
      </c>
      <c r="C326" s="83" t="s">
        <v>322</v>
      </c>
      <c r="D326" s="83" t="s">
        <v>750</v>
      </c>
      <c r="E326" s="83" t="s">
        <v>751</v>
      </c>
      <c r="F326" s="83" t="s">
        <v>752</v>
      </c>
      <c r="G326" s="83">
        <v>120</v>
      </c>
      <c r="H326" s="83" t="s">
        <v>753</v>
      </c>
      <c r="I326" s="85">
        <v>124</v>
      </c>
      <c r="J326" s="86">
        <v>37963</v>
      </c>
      <c r="K326" s="83"/>
    </row>
    <row r="327" s="17" customFormat="1" ht="26.25" customHeight="1" spans="1:11">
      <c r="A327" s="82">
        <f t="shared" si="5"/>
        <v>326</v>
      </c>
      <c r="B327" s="84" t="s">
        <v>1082</v>
      </c>
      <c r="C327" s="83" t="s">
        <v>322</v>
      </c>
      <c r="D327" s="83" t="s">
        <v>750</v>
      </c>
      <c r="E327" s="83" t="s">
        <v>751</v>
      </c>
      <c r="F327" s="83" t="s">
        <v>752</v>
      </c>
      <c r="G327" s="83">
        <v>120</v>
      </c>
      <c r="H327" s="83" t="s">
        <v>753</v>
      </c>
      <c r="I327" s="85">
        <v>316</v>
      </c>
      <c r="J327" s="86">
        <v>37963</v>
      </c>
      <c r="K327" s="83"/>
    </row>
    <row r="328" s="17" customFormat="1" ht="26.25" customHeight="1" spans="1:11">
      <c r="A328" s="82">
        <f t="shared" si="5"/>
        <v>327</v>
      </c>
      <c r="B328" s="84" t="s">
        <v>1083</v>
      </c>
      <c r="C328" s="83" t="s">
        <v>322</v>
      </c>
      <c r="D328" s="83" t="s">
        <v>750</v>
      </c>
      <c r="E328" s="83" t="s">
        <v>751</v>
      </c>
      <c r="F328" s="83" t="s">
        <v>752</v>
      </c>
      <c r="G328" s="83">
        <v>120</v>
      </c>
      <c r="H328" s="83" t="s">
        <v>753</v>
      </c>
      <c r="I328" s="85">
        <v>160</v>
      </c>
      <c r="J328" s="86">
        <v>37963</v>
      </c>
      <c r="K328" s="83"/>
    </row>
    <row r="329" s="17" customFormat="1" ht="26.25" customHeight="1" spans="1:11">
      <c r="A329" s="82">
        <f t="shared" si="5"/>
        <v>328</v>
      </c>
      <c r="B329" s="84" t="s">
        <v>1084</v>
      </c>
      <c r="C329" s="83" t="s">
        <v>322</v>
      </c>
      <c r="D329" s="83" t="s">
        <v>750</v>
      </c>
      <c r="E329" s="83" t="s">
        <v>751</v>
      </c>
      <c r="F329" s="83" t="s">
        <v>752</v>
      </c>
      <c r="G329" s="83">
        <v>120</v>
      </c>
      <c r="H329" s="83" t="s">
        <v>753</v>
      </c>
      <c r="I329" s="85">
        <v>260</v>
      </c>
      <c r="J329" s="86">
        <v>37963</v>
      </c>
      <c r="K329" s="83"/>
    </row>
    <row r="330" s="17" customFormat="1" ht="26.25" customHeight="1" spans="1:11">
      <c r="A330" s="82">
        <f t="shared" si="5"/>
        <v>329</v>
      </c>
      <c r="B330" s="84" t="s">
        <v>1085</v>
      </c>
      <c r="C330" s="83" t="s">
        <v>322</v>
      </c>
      <c r="D330" s="83" t="s">
        <v>750</v>
      </c>
      <c r="E330" s="83" t="s">
        <v>751</v>
      </c>
      <c r="F330" s="83" t="s">
        <v>752</v>
      </c>
      <c r="G330" s="83">
        <v>120</v>
      </c>
      <c r="H330" s="83" t="s">
        <v>753</v>
      </c>
      <c r="I330" s="85">
        <v>248</v>
      </c>
      <c r="J330" s="86">
        <v>37963</v>
      </c>
      <c r="K330" s="83"/>
    </row>
    <row r="331" s="17" customFormat="1" ht="26.25" customHeight="1" spans="1:11">
      <c r="A331" s="82">
        <f t="shared" si="5"/>
        <v>330</v>
      </c>
      <c r="B331" s="84" t="s">
        <v>1086</v>
      </c>
      <c r="C331" s="83" t="s">
        <v>322</v>
      </c>
      <c r="D331" s="83" t="s">
        <v>750</v>
      </c>
      <c r="E331" s="83" t="s">
        <v>751</v>
      </c>
      <c r="F331" s="83" t="s">
        <v>752</v>
      </c>
      <c r="G331" s="83">
        <v>120</v>
      </c>
      <c r="H331" s="83" t="s">
        <v>753</v>
      </c>
      <c r="I331" s="85">
        <v>244</v>
      </c>
      <c r="J331" s="86">
        <v>37963</v>
      </c>
      <c r="K331" s="83"/>
    </row>
    <row r="332" s="17" customFormat="1" ht="26.25" customHeight="1" spans="1:11">
      <c r="A332" s="82">
        <f t="shared" si="5"/>
        <v>331</v>
      </c>
      <c r="B332" s="84" t="s">
        <v>1087</v>
      </c>
      <c r="C332" s="83" t="s">
        <v>322</v>
      </c>
      <c r="D332" s="83" t="s">
        <v>750</v>
      </c>
      <c r="E332" s="83" t="s">
        <v>751</v>
      </c>
      <c r="F332" s="83" t="s">
        <v>752</v>
      </c>
      <c r="G332" s="83">
        <v>120</v>
      </c>
      <c r="H332" s="83" t="s">
        <v>753</v>
      </c>
      <c r="I332" s="85">
        <v>56</v>
      </c>
      <c r="J332" s="86">
        <v>37963</v>
      </c>
      <c r="K332" s="83"/>
    </row>
    <row r="333" s="17" customFormat="1" ht="26.25" customHeight="1" spans="1:11">
      <c r="A333" s="82">
        <f t="shared" si="5"/>
        <v>332</v>
      </c>
      <c r="B333" s="84" t="s">
        <v>1088</v>
      </c>
      <c r="C333" s="83" t="s">
        <v>322</v>
      </c>
      <c r="D333" s="83" t="s">
        <v>750</v>
      </c>
      <c r="E333" s="83" t="s">
        <v>751</v>
      </c>
      <c r="F333" s="83" t="s">
        <v>752</v>
      </c>
      <c r="G333" s="83">
        <v>120</v>
      </c>
      <c r="H333" s="83" t="s">
        <v>753</v>
      </c>
      <c r="I333" s="85">
        <v>210</v>
      </c>
      <c r="J333" s="86">
        <v>37963</v>
      </c>
      <c r="K333" s="83"/>
    </row>
    <row r="334" s="17" customFormat="1" ht="26.25" customHeight="1" spans="1:11">
      <c r="A334" s="82">
        <f t="shared" si="5"/>
        <v>333</v>
      </c>
      <c r="B334" s="84" t="s">
        <v>1089</v>
      </c>
      <c r="C334" s="83" t="s">
        <v>322</v>
      </c>
      <c r="D334" s="83" t="s">
        <v>750</v>
      </c>
      <c r="E334" s="83" t="s">
        <v>751</v>
      </c>
      <c r="F334" s="83" t="s">
        <v>752</v>
      </c>
      <c r="G334" s="83">
        <v>120</v>
      </c>
      <c r="H334" s="83" t="s">
        <v>753</v>
      </c>
      <c r="I334" s="85">
        <v>158</v>
      </c>
      <c r="J334" s="86">
        <v>37963</v>
      </c>
      <c r="K334" s="83"/>
    </row>
    <row r="335" s="17" customFormat="1" ht="26.25" customHeight="1" spans="1:11">
      <c r="A335" s="82">
        <f t="shared" si="5"/>
        <v>334</v>
      </c>
      <c r="B335" s="84" t="s">
        <v>1090</v>
      </c>
      <c r="C335" s="83" t="s">
        <v>322</v>
      </c>
      <c r="D335" s="83" t="s">
        <v>750</v>
      </c>
      <c r="E335" s="83" t="s">
        <v>751</v>
      </c>
      <c r="F335" s="83" t="s">
        <v>752</v>
      </c>
      <c r="G335" s="83">
        <v>120</v>
      </c>
      <c r="H335" s="83" t="s">
        <v>753</v>
      </c>
      <c r="I335" s="85">
        <v>136</v>
      </c>
      <c r="J335" s="86">
        <v>37963</v>
      </c>
      <c r="K335" s="83"/>
    </row>
    <row r="336" s="17" customFormat="1" ht="26.25" customHeight="1" spans="1:11">
      <c r="A336" s="82">
        <f t="shared" si="5"/>
        <v>335</v>
      </c>
      <c r="B336" s="84" t="s">
        <v>1091</v>
      </c>
      <c r="C336" s="83" t="s">
        <v>322</v>
      </c>
      <c r="D336" s="83" t="s">
        <v>750</v>
      </c>
      <c r="E336" s="83" t="s">
        <v>751</v>
      </c>
      <c r="F336" s="83" t="s">
        <v>752</v>
      </c>
      <c r="G336" s="83">
        <v>120</v>
      </c>
      <c r="H336" s="83" t="s">
        <v>753</v>
      </c>
      <c r="I336" s="85">
        <v>12</v>
      </c>
      <c r="J336" s="86">
        <v>37963</v>
      </c>
      <c r="K336" s="83"/>
    </row>
    <row r="337" s="17" customFormat="1" ht="26.25" customHeight="1" spans="1:11">
      <c r="A337" s="82">
        <f t="shared" si="5"/>
        <v>336</v>
      </c>
      <c r="B337" s="84" t="s">
        <v>1092</v>
      </c>
      <c r="C337" s="83" t="s">
        <v>322</v>
      </c>
      <c r="D337" s="83" t="s">
        <v>750</v>
      </c>
      <c r="E337" s="83" t="s">
        <v>751</v>
      </c>
      <c r="F337" s="83" t="s">
        <v>752</v>
      </c>
      <c r="G337" s="83">
        <v>120</v>
      </c>
      <c r="H337" s="83" t="s">
        <v>753</v>
      </c>
      <c r="I337" s="85">
        <v>28</v>
      </c>
      <c r="J337" s="86">
        <v>37963</v>
      </c>
      <c r="K337" s="83"/>
    </row>
    <row r="338" s="17" customFormat="1" ht="26.25" customHeight="1" spans="1:11">
      <c r="A338" s="82">
        <f t="shared" si="5"/>
        <v>337</v>
      </c>
      <c r="B338" s="84" t="s">
        <v>1093</v>
      </c>
      <c r="C338" s="83" t="s">
        <v>322</v>
      </c>
      <c r="D338" s="83" t="s">
        <v>750</v>
      </c>
      <c r="E338" s="83" t="s">
        <v>751</v>
      </c>
      <c r="F338" s="83" t="s">
        <v>752</v>
      </c>
      <c r="G338" s="83">
        <v>120</v>
      </c>
      <c r="H338" s="83" t="s">
        <v>753</v>
      </c>
      <c r="I338" s="85">
        <v>12</v>
      </c>
      <c r="J338" s="86">
        <v>37963</v>
      </c>
      <c r="K338" s="83"/>
    </row>
    <row r="339" s="17" customFormat="1" ht="26.25" customHeight="1" spans="1:11">
      <c r="A339" s="82">
        <f t="shared" si="5"/>
        <v>338</v>
      </c>
      <c r="B339" s="84" t="s">
        <v>1094</v>
      </c>
      <c r="C339" s="83" t="s">
        <v>322</v>
      </c>
      <c r="D339" s="83" t="s">
        <v>750</v>
      </c>
      <c r="E339" s="83" t="s">
        <v>751</v>
      </c>
      <c r="F339" s="83" t="s">
        <v>752</v>
      </c>
      <c r="G339" s="83">
        <v>120</v>
      </c>
      <c r="H339" s="83" t="s">
        <v>753</v>
      </c>
      <c r="I339" s="85">
        <v>12</v>
      </c>
      <c r="J339" s="86">
        <v>37963</v>
      </c>
      <c r="K339" s="83"/>
    </row>
    <row r="340" s="17" customFormat="1" ht="26.25" customHeight="1" spans="1:11">
      <c r="A340" s="82">
        <f t="shared" si="5"/>
        <v>339</v>
      </c>
      <c r="B340" s="84" t="s">
        <v>1095</v>
      </c>
      <c r="C340" s="83" t="s">
        <v>322</v>
      </c>
      <c r="D340" s="83" t="s">
        <v>750</v>
      </c>
      <c r="E340" s="83" t="s">
        <v>751</v>
      </c>
      <c r="F340" s="83" t="s">
        <v>752</v>
      </c>
      <c r="G340" s="83">
        <v>120</v>
      </c>
      <c r="H340" s="83" t="s">
        <v>753</v>
      </c>
      <c r="I340" s="85">
        <v>72</v>
      </c>
      <c r="J340" s="86">
        <v>37963</v>
      </c>
      <c r="K340" s="83"/>
    </row>
    <row r="341" s="17" customFormat="1" ht="26.25" customHeight="1" spans="1:11">
      <c r="A341" s="82">
        <f t="shared" si="5"/>
        <v>340</v>
      </c>
      <c r="B341" s="84" t="s">
        <v>1096</v>
      </c>
      <c r="C341" s="83" t="s">
        <v>322</v>
      </c>
      <c r="D341" s="83" t="s">
        <v>750</v>
      </c>
      <c r="E341" s="83" t="s">
        <v>751</v>
      </c>
      <c r="F341" s="83" t="s">
        <v>752</v>
      </c>
      <c r="G341" s="83">
        <v>120</v>
      </c>
      <c r="H341" s="83" t="s">
        <v>753</v>
      </c>
      <c r="I341" s="85">
        <v>16</v>
      </c>
      <c r="J341" s="86">
        <v>37963</v>
      </c>
      <c r="K341" s="83"/>
    </row>
    <row r="342" s="17" customFormat="1" ht="26.25" customHeight="1" spans="1:11">
      <c r="A342" s="82">
        <f t="shared" si="5"/>
        <v>341</v>
      </c>
      <c r="B342" s="84" t="s">
        <v>1097</v>
      </c>
      <c r="C342" s="83" t="s">
        <v>322</v>
      </c>
      <c r="D342" s="83" t="s">
        <v>750</v>
      </c>
      <c r="E342" s="83" t="s">
        <v>751</v>
      </c>
      <c r="F342" s="83" t="s">
        <v>752</v>
      </c>
      <c r="G342" s="83">
        <v>120</v>
      </c>
      <c r="H342" s="83" t="s">
        <v>753</v>
      </c>
      <c r="I342" s="85">
        <v>32</v>
      </c>
      <c r="J342" s="86">
        <v>37963</v>
      </c>
      <c r="K342" s="83"/>
    </row>
    <row r="343" s="17" customFormat="1" ht="26.25" customHeight="1" spans="1:11">
      <c r="A343" s="82">
        <f t="shared" si="5"/>
        <v>342</v>
      </c>
      <c r="B343" s="84" t="s">
        <v>1098</v>
      </c>
      <c r="C343" s="83" t="s">
        <v>322</v>
      </c>
      <c r="D343" s="83" t="s">
        <v>750</v>
      </c>
      <c r="E343" s="83" t="s">
        <v>751</v>
      </c>
      <c r="F343" s="83" t="s">
        <v>752</v>
      </c>
      <c r="G343" s="83">
        <v>120</v>
      </c>
      <c r="H343" s="83" t="s">
        <v>753</v>
      </c>
      <c r="I343" s="85">
        <v>56</v>
      </c>
      <c r="J343" s="86">
        <v>37963</v>
      </c>
      <c r="K343" s="83"/>
    </row>
    <row r="344" s="17" customFormat="1" ht="26.25" customHeight="1" spans="1:11">
      <c r="A344" s="82">
        <f t="shared" si="5"/>
        <v>343</v>
      </c>
      <c r="B344" s="84" t="s">
        <v>1099</v>
      </c>
      <c r="C344" s="83" t="s">
        <v>322</v>
      </c>
      <c r="D344" s="83" t="s">
        <v>750</v>
      </c>
      <c r="E344" s="83" t="s">
        <v>751</v>
      </c>
      <c r="F344" s="83" t="s">
        <v>752</v>
      </c>
      <c r="G344" s="83">
        <v>120</v>
      </c>
      <c r="H344" s="83" t="s">
        <v>753</v>
      </c>
      <c r="I344" s="85">
        <v>352</v>
      </c>
      <c r="J344" s="86">
        <v>37963</v>
      </c>
      <c r="K344" s="83"/>
    </row>
    <row r="345" s="17" customFormat="1" ht="26.25" customHeight="1" spans="1:11">
      <c r="A345" s="82">
        <f t="shared" si="5"/>
        <v>344</v>
      </c>
      <c r="B345" s="84" t="s">
        <v>1100</v>
      </c>
      <c r="C345" s="83" t="s">
        <v>322</v>
      </c>
      <c r="D345" s="83" t="s">
        <v>750</v>
      </c>
      <c r="E345" s="83" t="s">
        <v>751</v>
      </c>
      <c r="F345" s="83" t="s">
        <v>752</v>
      </c>
      <c r="G345" s="83">
        <v>120</v>
      </c>
      <c r="H345" s="83" t="s">
        <v>753</v>
      </c>
      <c r="I345" s="85">
        <v>12</v>
      </c>
      <c r="J345" s="86">
        <v>37963</v>
      </c>
      <c r="K345" s="83"/>
    </row>
    <row r="346" s="17" customFormat="1" ht="26.25" customHeight="1" spans="1:11">
      <c r="A346" s="82">
        <f t="shared" si="5"/>
        <v>345</v>
      </c>
      <c r="B346" s="84" t="s">
        <v>1101</v>
      </c>
      <c r="C346" s="83" t="s">
        <v>322</v>
      </c>
      <c r="D346" s="83" t="s">
        <v>750</v>
      </c>
      <c r="E346" s="83" t="s">
        <v>751</v>
      </c>
      <c r="F346" s="83" t="s">
        <v>752</v>
      </c>
      <c r="G346" s="83">
        <v>120</v>
      </c>
      <c r="H346" s="83" t="s">
        <v>753</v>
      </c>
      <c r="I346" s="85">
        <v>120</v>
      </c>
      <c r="J346" s="86">
        <v>37963</v>
      </c>
      <c r="K346" s="83"/>
    </row>
    <row r="347" s="17" customFormat="1" ht="26.25" customHeight="1" spans="1:11">
      <c r="A347" s="82">
        <f t="shared" si="5"/>
        <v>346</v>
      </c>
      <c r="B347" s="84" t="s">
        <v>1102</v>
      </c>
      <c r="C347" s="83" t="s">
        <v>322</v>
      </c>
      <c r="D347" s="83" t="s">
        <v>750</v>
      </c>
      <c r="E347" s="83" t="s">
        <v>751</v>
      </c>
      <c r="F347" s="83" t="s">
        <v>752</v>
      </c>
      <c r="G347" s="83">
        <v>120</v>
      </c>
      <c r="H347" s="83" t="s">
        <v>753</v>
      </c>
      <c r="I347" s="85">
        <v>12</v>
      </c>
      <c r="J347" s="86">
        <v>37963</v>
      </c>
      <c r="K347" s="83"/>
    </row>
    <row r="348" s="17" customFormat="1" ht="26.25" customHeight="1" spans="1:11">
      <c r="A348" s="82">
        <f t="shared" si="5"/>
        <v>347</v>
      </c>
      <c r="B348" s="84" t="s">
        <v>1103</v>
      </c>
      <c r="C348" s="83" t="s">
        <v>322</v>
      </c>
      <c r="D348" s="83" t="s">
        <v>750</v>
      </c>
      <c r="E348" s="83" t="s">
        <v>751</v>
      </c>
      <c r="F348" s="83" t="s">
        <v>752</v>
      </c>
      <c r="G348" s="83">
        <v>120</v>
      </c>
      <c r="H348" s="83" t="s">
        <v>753</v>
      </c>
      <c r="I348" s="85">
        <v>12</v>
      </c>
      <c r="J348" s="86">
        <v>37963</v>
      </c>
      <c r="K348" s="83"/>
    </row>
    <row r="349" s="17" customFormat="1" ht="26.25" customHeight="1" spans="1:11">
      <c r="A349" s="82">
        <f t="shared" si="5"/>
        <v>348</v>
      </c>
      <c r="B349" s="84" t="s">
        <v>1104</v>
      </c>
      <c r="C349" s="83" t="s">
        <v>322</v>
      </c>
      <c r="D349" s="83" t="s">
        <v>750</v>
      </c>
      <c r="E349" s="83" t="s">
        <v>751</v>
      </c>
      <c r="F349" s="83" t="s">
        <v>752</v>
      </c>
      <c r="G349" s="83">
        <v>120</v>
      </c>
      <c r="H349" s="83" t="s">
        <v>753</v>
      </c>
      <c r="I349" s="85">
        <v>20</v>
      </c>
      <c r="J349" s="86">
        <v>37963</v>
      </c>
      <c r="K349" s="83"/>
    </row>
    <row r="350" s="17" customFormat="1" ht="26.25" customHeight="1" spans="1:11">
      <c r="A350" s="82">
        <f t="shared" si="5"/>
        <v>349</v>
      </c>
      <c r="B350" s="84" t="s">
        <v>1105</v>
      </c>
      <c r="C350" s="83" t="s">
        <v>322</v>
      </c>
      <c r="D350" s="83" t="s">
        <v>750</v>
      </c>
      <c r="E350" s="83" t="s">
        <v>751</v>
      </c>
      <c r="F350" s="83" t="s">
        <v>752</v>
      </c>
      <c r="G350" s="83">
        <v>120</v>
      </c>
      <c r="H350" s="83" t="s">
        <v>753</v>
      </c>
      <c r="I350" s="85">
        <v>120</v>
      </c>
      <c r="J350" s="86">
        <v>37963</v>
      </c>
      <c r="K350" s="83"/>
    </row>
    <row r="351" s="17" customFormat="1" ht="26.25" customHeight="1" spans="1:11">
      <c r="A351" s="82">
        <f t="shared" si="5"/>
        <v>350</v>
      </c>
      <c r="B351" s="84" t="s">
        <v>1106</v>
      </c>
      <c r="C351" s="83" t="s">
        <v>322</v>
      </c>
      <c r="D351" s="83" t="s">
        <v>750</v>
      </c>
      <c r="E351" s="83" t="s">
        <v>751</v>
      </c>
      <c r="F351" s="83" t="s">
        <v>752</v>
      </c>
      <c r="G351" s="83">
        <v>120</v>
      </c>
      <c r="H351" s="83" t="s">
        <v>753</v>
      </c>
      <c r="I351" s="85">
        <v>56</v>
      </c>
      <c r="J351" s="86">
        <v>37963</v>
      </c>
      <c r="K351" s="83"/>
    </row>
    <row r="352" s="17" customFormat="1" ht="26.25" customHeight="1" spans="1:11">
      <c r="A352" s="82">
        <f t="shared" si="5"/>
        <v>351</v>
      </c>
      <c r="B352" s="84" t="s">
        <v>1107</v>
      </c>
      <c r="C352" s="83" t="s">
        <v>322</v>
      </c>
      <c r="D352" s="83" t="s">
        <v>750</v>
      </c>
      <c r="E352" s="83" t="s">
        <v>751</v>
      </c>
      <c r="F352" s="83" t="s">
        <v>752</v>
      </c>
      <c r="G352" s="83">
        <v>120</v>
      </c>
      <c r="H352" s="83" t="s">
        <v>753</v>
      </c>
      <c r="I352" s="85">
        <v>180</v>
      </c>
      <c r="J352" s="86">
        <v>37963</v>
      </c>
      <c r="K352" s="83"/>
    </row>
    <row r="353" s="17" customFormat="1" ht="26.25" customHeight="1" spans="1:13">
      <c r="A353" s="82">
        <f t="shared" si="5"/>
        <v>352</v>
      </c>
      <c r="B353" s="84" t="s">
        <v>1108</v>
      </c>
      <c r="C353" s="83" t="s">
        <v>322</v>
      </c>
      <c r="D353" s="83" t="s">
        <v>750</v>
      </c>
      <c r="E353" s="83" t="s">
        <v>751</v>
      </c>
      <c r="F353" s="83" t="s">
        <v>752</v>
      </c>
      <c r="G353" s="83">
        <v>120</v>
      </c>
      <c r="H353" s="83" t="s">
        <v>753</v>
      </c>
      <c r="I353" s="85">
        <f>170*2</f>
        <v>340</v>
      </c>
      <c r="J353" s="86">
        <v>37963</v>
      </c>
      <c r="K353" s="83"/>
    </row>
    <row r="354" s="17" customFormat="1" ht="26.25" customHeight="1" spans="1:13">
      <c r="A354" s="82">
        <f t="shared" si="5"/>
        <v>353</v>
      </c>
      <c r="B354" s="84" t="s">
        <v>1109</v>
      </c>
      <c r="C354" s="83" t="s">
        <v>322</v>
      </c>
      <c r="D354" s="83" t="s">
        <v>750</v>
      </c>
      <c r="E354" s="83" t="s">
        <v>751</v>
      </c>
      <c r="F354" s="83" t="s">
        <v>752</v>
      </c>
      <c r="G354" s="83">
        <v>120</v>
      </c>
      <c r="H354" s="83" t="s">
        <v>753</v>
      </c>
      <c r="I354" s="85">
        <v>16</v>
      </c>
      <c r="J354" s="86">
        <v>37963</v>
      </c>
      <c r="K354" s="83"/>
    </row>
    <row r="355" s="17" customFormat="1" ht="26.25" customHeight="1" spans="1:13">
      <c r="A355" s="82">
        <f t="shared" si="5"/>
        <v>354</v>
      </c>
      <c r="B355" s="84" t="s">
        <v>1110</v>
      </c>
      <c r="C355" s="83" t="s">
        <v>322</v>
      </c>
      <c r="D355" s="83" t="s">
        <v>750</v>
      </c>
      <c r="E355" s="83" t="s">
        <v>751</v>
      </c>
      <c r="F355" s="83" t="s">
        <v>752</v>
      </c>
      <c r="G355" s="83">
        <v>120</v>
      </c>
      <c r="H355" s="83" t="s">
        <v>753</v>
      </c>
      <c r="I355" s="85">
        <v>12</v>
      </c>
      <c r="J355" s="86">
        <v>37963</v>
      </c>
      <c r="K355" s="83"/>
    </row>
    <row r="356" s="17" customFormat="1" ht="26.25" customHeight="1" spans="1:13">
      <c r="A356" s="82">
        <f t="shared" si="5"/>
        <v>355</v>
      </c>
      <c r="B356" s="84" t="s">
        <v>1111</v>
      </c>
      <c r="C356" s="83" t="s">
        <v>322</v>
      </c>
      <c r="D356" s="83" t="s">
        <v>750</v>
      </c>
      <c r="E356" s="83" t="s">
        <v>751</v>
      </c>
      <c r="F356" s="83" t="s">
        <v>752</v>
      </c>
      <c r="G356" s="83">
        <v>120</v>
      </c>
      <c r="H356" s="83" t="s">
        <v>753</v>
      </c>
      <c r="I356" s="85">
        <v>136</v>
      </c>
      <c r="J356" s="86">
        <v>37963</v>
      </c>
      <c r="K356" s="83"/>
    </row>
    <row r="357" s="17" customFormat="1" ht="26.25" customHeight="1" spans="1:13">
      <c r="A357" s="82">
        <f t="shared" si="5"/>
        <v>356</v>
      </c>
      <c r="B357" s="84" t="s">
        <v>1112</v>
      </c>
      <c r="C357" s="83" t="s">
        <v>322</v>
      </c>
      <c r="D357" s="83" t="s">
        <v>750</v>
      </c>
      <c r="E357" s="83" t="s">
        <v>751</v>
      </c>
      <c r="F357" s="83" t="s">
        <v>752</v>
      </c>
      <c r="G357" s="83">
        <v>120</v>
      </c>
      <c r="H357" s="83" t="s">
        <v>753</v>
      </c>
      <c r="I357" s="85">
        <v>32</v>
      </c>
      <c r="J357" s="86">
        <v>37963</v>
      </c>
      <c r="K357" s="83"/>
    </row>
    <row r="358" s="17" customFormat="1" ht="26.25" customHeight="1" spans="1:13">
      <c r="A358" s="82">
        <f t="shared" si="5"/>
        <v>357</v>
      </c>
      <c r="B358" s="84" t="s">
        <v>1113</v>
      </c>
      <c r="C358" s="83" t="s">
        <v>322</v>
      </c>
      <c r="D358" s="83" t="s">
        <v>750</v>
      </c>
      <c r="E358" s="83" t="s">
        <v>751</v>
      </c>
      <c r="F358" s="83" t="s">
        <v>752</v>
      </c>
      <c r="G358" s="83">
        <v>120</v>
      </c>
      <c r="H358" s="83" t="s">
        <v>753</v>
      </c>
      <c r="I358" s="85">
        <v>12</v>
      </c>
      <c r="J358" s="86">
        <v>37963</v>
      </c>
      <c r="K358" s="83"/>
    </row>
    <row r="359" s="17" customFormat="1" ht="26.25" customHeight="1" spans="1:13">
      <c r="A359" s="82">
        <f t="shared" si="5"/>
        <v>358</v>
      </c>
      <c r="B359" s="84" t="s">
        <v>1114</v>
      </c>
      <c r="C359" s="83" t="s">
        <v>322</v>
      </c>
      <c r="D359" s="83" t="s">
        <v>750</v>
      </c>
      <c r="E359" s="83" t="s">
        <v>751</v>
      </c>
      <c r="F359" s="83" t="s">
        <v>752</v>
      </c>
      <c r="G359" s="83">
        <v>120</v>
      </c>
      <c r="H359" s="83" t="s">
        <v>753</v>
      </c>
      <c r="I359" s="85">
        <v>128</v>
      </c>
      <c r="J359" s="86">
        <v>37963</v>
      </c>
      <c r="K359" s="83"/>
    </row>
    <row r="360" s="17" customFormat="1" ht="26.25" customHeight="1" spans="1:13">
      <c r="A360" s="82">
        <f t="shared" si="5"/>
        <v>359</v>
      </c>
      <c r="B360" s="84" t="s">
        <v>1115</v>
      </c>
      <c r="C360" s="83" t="s">
        <v>322</v>
      </c>
      <c r="D360" s="83" t="s">
        <v>750</v>
      </c>
      <c r="E360" s="83" t="s">
        <v>751</v>
      </c>
      <c r="F360" s="83" t="s">
        <v>752</v>
      </c>
      <c r="G360" s="83">
        <v>120</v>
      </c>
      <c r="H360" s="83" t="s">
        <v>753</v>
      </c>
      <c r="I360" s="85">
        <v>270</v>
      </c>
      <c r="J360" s="86">
        <v>37963</v>
      </c>
      <c r="K360" s="83"/>
    </row>
    <row r="361" s="17" customFormat="1" ht="26.25" customHeight="1" spans="1:13">
      <c r="A361" s="82">
        <f t="shared" si="5"/>
        <v>360</v>
      </c>
      <c r="B361" s="84" t="s">
        <v>1116</v>
      </c>
      <c r="C361" s="83" t="s">
        <v>322</v>
      </c>
      <c r="D361" s="83" t="s">
        <v>750</v>
      </c>
      <c r="E361" s="83" t="s">
        <v>751</v>
      </c>
      <c r="F361" s="83" t="s">
        <v>752</v>
      </c>
      <c r="G361" s="83">
        <v>120</v>
      </c>
      <c r="H361" s="83" t="s">
        <v>753</v>
      </c>
      <c r="I361" s="85">
        <v>16</v>
      </c>
      <c r="J361" s="86">
        <v>37963</v>
      </c>
      <c r="K361" s="83"/>
    </row>
    <row r="362" s="17" customFormat="1" ht="26.25" customHeight="1" spans="1:13">
      <c r="A362" s="82">
        <f t="shared" si="5"/>
        <v>361</v>
      </c>
      <c r="B362" s="84" t="s">
        <v>1117</v>
      </c>
      <c r="C362" s="83" t="s">
        <v>322</v>
      </c>
      <c r="D362" s="83" t="s">
        <v>750</v>
      </c>
      <c r="E362" s="83" t="s">
        <v>751</v>
      </c>
      <c r="F362" s="83" t="s">
        <v>752</v>
      </c>
      <c r="G362" s="83">
        <v>120</v>
      </c>
      <c r="H362" s="83" t="s">
        <v>753</v>
      </c>
      <c r="I362" s="85">
        <v>254</v>
      </c>
      <c r="J362" s="86">
        <v>37963</v>
      </c>
      <c r="K362" s="83"/>
    </row>
    <row r="363" s="17" customFormat="1" ht="26.25" customHeight="1" spans="1:13">
      <c r="A363" s="82">
        <f t="shared" si="5"/>
        <v>362</v>
      </c>
      <c r="B363" s="84" t="s">
        <v>1118</v>
      </c>
      <c r="C363" s="83" t="s">
        <v>322</v>
      </c>
      <c r="D363" s="83" t="s">
        <v>750</v>
      </c>
      <c r="E363" s="83" t="s">
        <v>751</v>
      </c>
      <c r="F363" s="83" t="s">
        <v>752</v>
      </c>
      <c r="G363" s="83">
        <v>120</v>
      </c>
      <c r="H363" s="83" t="s">
        <v>753</v>
      </c>
      <c r="I363" s="85">
        <v>12</v>
      </c>
      <c r="J363" s="86">
        <v>37963</v>
      </c>
      <c r="K363" s="83"/>
    </row>
    <row r="364" s="17" customFormat="1" ht="26.25" customHeight="1" spans="1:13">
      <c r="A364" s="82">
        <f t="shared" si="5"/>
        <v>363</v>
      </c>
      <c r="B364" s="84" t="s">
        <v>1119</v>
      </c>
      <c r="C364" s="83" t="s">
        <v>322</v>
      </c>
      <c r="D364" s="83" t="s">
        <v>750</v>
      </c>
      <c r="E364" s="83" t="s">
        <v>751</v>
      </c>
      <c r="F364" s="83" t="s">
        <v>752</v>
      </c>
      <c r="G364" s="83">
        <v>120</v>
      </c>
      <c r="H364" s="83" t="s">
        <v>753</v>
      </c>
      <c r="I364" s="85">
        <v>90</v>
      </c>
      <c r="J364" s="86">
        <v>37963</v>
      </c>
      <c r="K364" s="83"/>
    </row>
    <row r="365" s="17" customFormat="1" ht="26.25" customHeight="1" spans="1:13">
      <c r="A365" s="82">
        <f t="shared" si="5"/>
        <v>364</v>
      </c>
      <c r="B365" s="87" t="s">
        <v>1120</v>
      </c>
      <c r="C365" s="83" t="s">
        <v>322</v>
      </c>
      <c r="D365" s="83" t="s">
        <v>750</v>
      </c>
      <c r="E365" s="83" t="s">
        <v>751</v>
      </c>
      <c r="F365" s="83" t="s">
        <v>752</v>
      </c>
      <c r="G365" s="83">
        <v>120</v>
      </c>
      <c r="H365" s="83" t="s">
        <v>753</v>
      </c>
      <c r="I365" s="85">
        <v>106</v>
      </c>
      <c r="J365" s="86">
        <v>37963</v>
      </c>
      <c r="K365" s="83"/>
      <c r="L365" s="93"/>
      <c r="M365" s="93"/>
    </row>
    <row r="366" s="17" customFormat="1" ht="26.25" customHeight="1" spans="1:13">
      <c r="A366" s="82">
        <f t="shared" si="5"/>
        <v>365</v>
      </c>
      <c r="B366" s="87" t="s">
        <v>1121</v>
      </c>
      <c r="C366" s="83" t="s">
        <v>322</v>
      </c>
      <c r="D366" s="83" t="s">
        <v>750</v>
      </c>
      <c r="E366" s="83" t="s">
        <v>751</v>
      </c>
      <c r="F366" s="83" t="s">
        <v>752</v>
      </c>
      <c r="G366" s="83">
        <v>120</v>
      </c>
      <c r="H366" s="83" t="s">
        <v>753</v>
      </c>
      <c r="I366" s="85">
        <v>64</v>
      </c>
      <c r="J366" s="86">
        <v>37963</v>
      </c>
      <c r="K366" s="83"/>
      <c r="L366" s="93"/>
      <c r="M366" s="94"/>
    </row>
    <row r="367" s="17" customFormat="1" ht="26.25" customHeight="1" spans="1:13">
      <c r="A367" s="82">
        <f t="shared" si="5"/>
        <v>366</v>
      </c>
      <c r="B367" s="87" t="s">
        <v>1122</v>
      </c>
      <c r="C367" s="83" t="s">
        <v>322</v>
      </c>
      <c r="D367" s="83" t="s">
        <v>750</v>
      </c>
      <c r="E367" s="83" t="s">
        <v>751</v>
      </c>
      <c r="F367" s="83" t="s">
        <v>752</v>
      </c>
      <c r="G367" s="83">
        <v>120</v>
      </c>
      <c r="H367" s="83" t="s">
        <v>753</v>
      </c>
      <c r="I367" s="85">
        <v>312</v>
      </c>
      <c r="J367" s="86">
        <v>37963</v>
      </c>
      <c r="K367" s="83"/>
      <c r="L367" s="93"/>
      <c r="M367" s="93"/>
    </row>
    <row r="368" s="17" customFormat="1" ht="26.25" customHeight="1" spans="1:13">
      <c r="A368" s="82">
        <f t="shared" si="5"/>
        <v>367</v>
      </c>
      <c r="B368" s="87" t="s">
        <v>1123</v>
      </c>
      <c r="C368" s="83" t="s">
        <v>322</v>
      </c>
      <c r="D368" s="83" t="s">
        <v>750</v>
      </c>
      <c r="E368" s="83" t="s">
        <v>751</v>
      </c>
      <c r="F368" s="83" t="s">
        <v>752</v>
      </c>
      <c r="G368" s="83">
        <v>120</v>
      </c>
      <c r="H368" s="83" t="s">
        <v>753</v>
      </c>
      <c r="I368" s="85">
        <v>40</v>
      </c>
      <c r="J368" s="86">
        <v>37963</v>
      </c>
      <c r="K368" s="83"/>
      <c r="L368" s="93"/>
      <c r="M368" s="93"/>
    </row>
    <row r="369" s="17" customFormat="1" ht="26.25" customHeight="1" spans="1:13">
      <c r="A369" s="82">
        <f t="shared" si="5"/>
        <v>368</v>
      </c>
      <c r="B369" s="87" t="s">
        <v>1124</v>
      </c>
      <c r="C369" s="83" t="s">
        <v>322</v>
      </c>
      <c r="D369" s="83" t="s">
        <v>750</v>
      </c>
      <c r="E369" s="83" t="s">
        <v>751</v>
      </c>
      <c r="F369" s="83" t="s">
        <v>752</v>
      </c>
      <c r="G369" s="83">
        <v>120</v>
      </c>
      <c r="H369" s="83" t="s">
        <v>753</v>
      </c>
      <c r="I369" s="85">
        <v>12</v>
      </c>
      <c r="J369" s="86">
        <v>37963</v>
      </c>
      <c r="K369" s="83"/>
      <c r="L369" s="93"/>
      <c r="M369" s="93"/>
    </row>
    <row r="370" s="17" customFormat="1" ht="26.25" customHeight="1" spans="1:13">
      <c r="A370" s="82">
        <f t="shared" si="5"/>
        <v>369</v>
      </c>
      <c r="B370" s="87" t="s">
        <v>1125</v>
      </c>
      <c r="C370" s="83" t="s">
        <v>322</v>
      </c>
      <c r="D370" s="83" t="s">
        <v>750</v>
      </c>
      <c r="E370" s="83" t="s">
        <v>751</v>
      </c>
      <c r="F370" s="83" t="s">
        <v>752</v>
      </c>
      <c r="G370" s="83">
        <v>120</v>
      </c>
      <c r="H370" s="83" t="s">
        <v>753</v>
      </c>
      <c r="I370" s="85">
        <v>272</v>
      </c>
      <c r="J370" s="86">
        <v>37963</v>
      </c>
      <c r="K370" s="83"/>
      <c r="L370" s="93"/>
      <c r="M370" s="93"/>
    </row>
    <row r="371" s="17" customFormat="1" ht="26.25" customHeight="1" spans="1:13">
      <c r="A371" s="82">
        <f t="shared" si="5"/>
        <v>370</v>
      </c>
      <c r="B371" s="87" t="s">
        <v>1126</v>
      </c>
      <c r="C371" s="83" t="s">
        <v>322</v>
      </c>
      <c r="D371" s="83" t="s">
        <v>750</v>
      </c>
      <c r="E371" s="83" t="s">
        <v>751</v>
      </c>
      <c r="F371" s="83" t="s">
        <v>752</v>
      </c>
      <c r="G371" s="83">
        <v>120</v>
      </c>
      <c r="H371" s="83" t="s">
        <v>753</v>
      </c>
      <c r="I371" s="85">
        <v>480</v>
      </c>
      <c r="J371" s="86">
        <v>37963</v>
      </c>
      <c r="K371" s="83"/>
      <c r="L371" s="93"/>
      <c r="M371" s="93"/>
    </row>
    <row r="372" s="17" customFormat="1" ht="26.25" customHeight="1" spans="1:13">
      <c r="A372" s="82">
        <f t="shared" si="5"/>
        <v>371</v>
      </c>
      <c r="B372" s="87" t="s">
        <v>1127</v>
      </c>
      <c r="C372" s="83" t="s">
        <v>322</v>
      </c>
      <c r="D372" s="83" t="s">
        <v>750</v>
      </c>
      <c r="E372" s="83" t="s">
        <v>751</v>
      </c>
      <c r="F372" s="83" t="s">
        <v>752</v>
      </c>
      <c r="G372" s="83">
        <v>120</v>
      </c>
      <c r="H372" s="83" t="s">
        <v>753</v>
      </c>
      <c r="I372" s="85">
        <v>382</v>
      </c>
      <c r="J372" s="86">
        <v>37963</v>
      </c>
      <c r="K372" s="83"/>
      <c r="L372" s="93"/>
      <c r="M372" s="93"/>
    </row>
    <row r="373" s="17" customFormat="1" ht="26.25" customHeight="1" spans="1:13">
      <c r="A373" s="82">
        <f t="shared" si="5"/>
        <v>372</v>
      </c>
      <c r="B373" s="87" t="s">
        <v>1128</v>
      </c>
      <c r="C373" s="83" t="s">
        <v>322</v>
      </c>
      <c r="D373" s="83" t="s">
        <v>750</v>
      </c>
      <c r="E373" s="83" t="s">
        <v>751</v>
      </c>
      <c r="F373" s="83" t="s">
        <v>752</v>
      </c>
      <c r="G373" s="83">
        <v>120</v>
      </c>
      <c r="H373" s="83" t="s">
        <v>753</v>
      </c>
      <c r="I373" s="85">
        <v>304</v>
      </c>
      <c r="J373" s="86">
        <v>37963</v>
      </c>
      <c r="K373" s="83"/>
      <c r="L373" s="93"/>
      <c r="M373" s="93"/>
    </row>
    <row r="374" s="17" customFormat="1" ht="26.25" customHeight="1" spans="1:13">
      <c r="A374" s="82">
        <f t="shared" si="5"/>
        <v>373</v>
      </c>
      <c r="B374" s="87" t="s">
        <v>1129</v>
      </c>
      <c r="C374" s="83" t="s">
        <v>322</v>
      </c>
      <c r="D374" s="83" t="s">
        <v>750</v>
      </c>
      <c r="E374" s="83" t="s">
        <v>751</v>
      </c>
      <c r="F374" s="83" t="s">
        <v>752</v>
      </c>
      <c r="G374" s="83">
        <v>120</v>
      </c>
      <c r="H374" s="83" t="s">
        <v>753</v>
      </c>
      <c r="I374" s="85">
        <v>408</v>
      </c>
      <c r="J374" s="86">
        <v>37963</v>
      </c>
      <c r="K374" s="83"/>
      <c r="L374" s="93"/>
      <c r="M374" s="93"/>
    </row>
    <row r="375" s="17" customFormat="1" ht="26.25" customHeight="1" spans="1:13">
      <c r="A375" s="82">
        <f t="shared" si="5"/>
        <v>374</v>
      </c>
      <c r="B375" s="87" t="s">
        <v>1130</v>
      </c>
      <c r="C375" s="83" t="s">
        <v>322</v>
      </c>
      <c r="D375" s="83" t="s">
        <v>750</v>
      </c>
      <c r="E375" s="83" t="s">
        <v>751</v>
      </c>
      <c r="F375" s="83" t="s">
        <v>752</v>
      </c>
      <c r="G375" s="83">
        <v>120</v>
      </c>
      <c r="H375" s="83" t="s">
        <v>753</v>
      </c>
      <c r="I375" s="85">
        <v>216</v>
      </c>
      <c r="J375" s="86">
        <v>37963</v>
      </c>
      <c r="K375" s="83"/>
      <c r="L375" s="93"/>
      <c r="M375" s="93"/>
    </row>
    <row r="376" s="17" customFormat="1" ht="26.25" customHeight="1" spans="1:13">
      <c r="A376" s="82">
        <f t="shared" si="5"/>
        <v>375</v>
      </c>
      <c r="B376" s="87" t="s">
        <v>1131</v>
      </c>
      <c r="C376" s="83" t="s">
        <v>322</v>
      </c>
      <c r="D376" s="83" t="s">
        <v>750</v>
      </c>
      <c r="E376" s="83" t="s">
        <v>751</v>
      </c>
      <c r="F376" s="83" t="s">
        <v>752</v>
      </c>
      <c r="G376" s="83">
        <v>120</v>
      </c>
      <c r="H376" s="83" t="s">
        <v>753</v>
      </c>
      <c r="I376" s="85">
        <v>424</v>
      </c>
      <c r="J376" s="86">
        <v>37963</v>
      </c>
      <c r="K376" s="83"/>
      <c r="L376" s="93"/>
      <c r="M376" s="93"/>
    </row>
    <row r="377" s="17" customFormat="1" ht="26.25" customHeight="1" spans="1:13">
      <c r="A377" s="82">
        <f t="shared" si="5"/>
        <v>376</v>
      </c>
      <c r="B377" s="87" t="s">
        <v>1132</v>
      </c>
      <c r="C377" s="83" t="s">
        <v>322</v>
      </c>
      <c r="D377" s="83" t="s">
        <v>750</v>
      </c>
      <c r="E377" s="83" t="s">
        <v>751</v>
      </c>
      <c r="F377" s="83" t="s">
        <v>752</v>
      </c>
      <c r="G377" s="83">
        <v>120</v>
      </c>
      <c r="H377" s="83" t="s">
        <v>753</v>
      </c>
      <c r="I377" s="85">
        <v>428</v>
      </c>
      <c r="J377" s="86">
        <v>37963</v>
      </c>
      <c r="K377" s="83"/>
      <c r="L377" s="93"/>
      <c r="M377" s="93"/>
    </row>
    <row r="378" s="17" customFormat="1" ht="26.25" customHeight="1" spans="1:13">
      <c r="A378" s="82">
        <f t="shared" si="5"/>
        <v>377</v>
      </c>
      <c r="B378" s="87" t="s">
        <v>1133</v>
      </c>
      <c r="C378" s="83" t="s">
        <v>322</v>
      </c>
      <c r="D378" s="83" t="s">
        <v>750</v>
      </c>
      <c r="E378" s="83" t="s">
        <v>751</v>
      </c>
      <c r="F378" s="83" t="s">
        <v>752</v>
      </c>
      <c r="G378" s="83">
        <v>120</v>
      </c>
      <c r="H378" s="83" t="s">
        <v>753</v>
      </c>
      <c r="I378" s="85">
        <v>88</v>
      </c>
      <c r="J378" s="86">
        <v>37963</v>
      </c>
      <c r="K378" s="83"/>
      <c r="L378" s="93"/>
      <c r="M378" s="93"/>
    </row>
    <row r="379" s="17" customFormat="1" ht="26.25" customHeight="1" spans="1:13">
      <c r="A379" s="82">
        <f t="shared" si="5"/>
        <v>378</v>
      </c>
      <c r="B379" s="87" t="s">
        <v>1134</v>
      </c>
      <c r="C379" s="83" t="s">
        <v>322</v>
      </c>
      <c r="D379" s="83" t="s">
        <v>750</v>
      </c>
      <c r="E379" s="83" t="s">
        <v>751</v>
      </c>
      <c r="F379" s="83" t="s">
        <v>752</v>
      </c>
      <c r="G379" s="83">
        <v>120</v>
      </c>
      <c r="H379" s="83" t="s">
        <v>753</v>
      </c>
      <c r="I379" s="85">
        <v>220</v>
      </c>
      <c r="J379" s="86">
        <v>37963</v>
      </c>
      <c r="K379" s="83"/>
      <c r="L379" s="93"/>
      <c r="M379" s="93"/>
    </row>
    <row r="380" s="17" customFormat="1" ht="26.25" customHeight="1" spans="1:13">
      <c r="A380" s="82">
        <f t="shared" si="5"/>
        <v>379</v>
      </c>
      <c r="B380" s="84" t="s">
        <v>896</v>
      </c>
      <c r="C380" s="83" t="s">
        <v>322</v>
      </c>
      <c r="D380" s="83" t="s">
        <v>897</v>
      </c>
      <c r="E380" s="83" t="s">
        <v>898</v>
      </c>
      <c r="F380" s="83" t="s">
        <v>899</v>
      </c>
      <c r="G380" s="83">
        <v>120</v>
      </c>
      <c r="H380" s="83" t="s">
        <v>753</v>
      </c>
      <c r="I380" s="85">
        <v>30</v>
      </c>
      <c r="J380" s="86">
        <v>37941</v>
      </c>
      <c r="K380" s="83"/>
      <c r="L380" s="93"/>
      <c r="M380" s="93"/>
    </row>
    <row r="381" s="17" customFormat="1" ht="26.25" customHeight="1" spans="1:13">
      <c r="A381" s="82">
        <f t="shared" si="5"/>
        <v>380</v>
      </c>
      <c r="B381" s="87" t="s">
        <v>1135</v>
      </c>
      <c r="C381" s="83" t="s">
        <v>322</v>
      </c>
      <c r="D381" s="83" t="s">
        <v>897</v>
      </c>
      <c r="E381" s="83" t="s">
        <v>898</v>
      </c>
      <c r="F381" s="83" t="s">
        <v>899</v>
      </c>
      <c r="G381" s="83">
        <v>120</v>
      </c>
      <c r="H381" s="83" t="s">
        <v>753</v>
      </c>
      <c r="I381" s="85">
        <v>375</v>
      </c>
      <c r="J381" s="86">
        <v>37963</v>
      </c>
      <c r="K381" s="83"/>
      <c r="L381" s="93"/>
      <c r="M381" s="93"/>
    </row>
    <row r="382" s="17" customFormat="1" ht="26.25" customHeight="1" spans="1:13">
      <c r="A382" s="82">
        <f t="shared" si="5"/>
        <v>381</v>
      </c>
      <c r="B382" s="87" t="s">
        <v>1136</v>
      </c>
      <c r="C382" s="83" t="s">
        <v>322</v>
      </c>
      <c r="D382" s="83" t="s">
        <v>897</v>
      </c>
      <c r="E382" s="83" t="s">
        <v>898</v>
      </c>
      <c r="F382" s="83" t="s">
        <v>899</v>
      </c>
      <c r="G382" s="83">
        <v>120</v>
      </c>
      <c r="H382" s="83" t="s">
        <v>753</v>
      </c>
      <c r="I382" s="85">
        <v>8</v>
      </c>
      <c r="J382" s="86">
        <v>37963</v>
      </c>
      <c r="K382" s="83"/>
      <c r="L382" s="93"/>
      <c r="M382" s="93"/>
    </row>
    <row r="383" s="17" customFormat="1" ht="26.25" customHeight="1" spans="1:13">
      <c r="A383" s="82">
        <f t="shared" si="5"/>
        <v>382</v>
      </c>
      <c r="B383" s="87" t="s">
        <v>1137</v>
      </c>
      <c r="C383" s="83" t="s">
        <v>322</v>
      </c>
      <c r="D383" s="83" t="s">
        <v>897</v>
      </c>
      <c r="E383" s="83" t="s">
        <v>898</v>
      </c>
      <c r="F383" s="83" t="s">
        <v>899</v>
      </c>
      <c r="G383" s="83">
        <v>120</v>
      </c>
      <c r="H383" s="83" t="s">
        <v>753</v>
      </c>
      <c r="I383" s="85">
        <v>120</v>
      </c>
      <c r="J383" s="86">
        <v>37963</v>
      </c>
      <c r="K383" s="83"/>
      <c r="L383" s="93"/>
      <c r="M383" s="93"/>
    </row>
    <row r="384" s="17" customFormat="1" ht="26.25" customHeight="1" spans="1:13">
      <c r="A384" s="82">
        <f t="shared" si="5"/>
        <v>383</v>
      </c>
      <c r="B384" s="87" t="s">
        <v>1138</v>
      </c>
      <c r="C384" s="83" t="s">
        <v>322</v>
      </c>
      <c r="D384" s="83" t="s">
        <v>897</v>
      </c>
      <c r="E384" s="83" t="s">
        <v>898</v>
      </c>
      <c r="F384" s="83" t="s">
        <v>899</v>
      </c>
      <c r="G384" s="83">
        <v>120</v>
      </c>
      <c r="H384" s="83" t="s">
        <v>753</v>
      </c>
      <c r="I384" s="85">
        <v>495</v>
      </c>
      <c r="J384" s="86">
        <v>37963</v>
      </c>
      <c r="K384" s="83"/>
      <c r="L384" s="93"/>
      <c r="M384" s="93"/>
    </row>
    <row r="385" s="17" customFormat="1" ht="26.25" customHeight="1" spans="1:13">
      <c r="A385" s="82">
        <f t="shared" si="5"/>
        <v>384</v>
      </c>
      <c r="B385" s="87" t="s">
        <v>1139</v>
      </c>
      <c r="C385" s="83" t="s">
        <v>322</v>
      </c>
      <c r="D385" s="83" t="s">
        <v>897</v>
      </c>
      <c r="E385" s="83" t="s">
        <v>898</v>
      </c>
      <c r="F385" s="83" t="s">
        <v>899</v>
      </c>
      <c r="G385" s="83">
        <v>120</v>
      </c>
      <c r="H385" s="83" t="s">
        <v>753</v>
      </c>
      <c r="I385" s="85">
        <v>120</v>
      </c>
      <c r="J385" s="86">
        <v>37963</v>
      </c>
      <c r="K385" s="83"/>
      <c r="L385" s="93"/>
      <c r="M385" s="93"/>
    </row>
    <row r="386" s="17" customFormat="1" ht="26.25" customHeight="1" spans="1:13">
      <c r="A386" s="82">
        <f t="shared" si="5"/>
        <v>385</v>
      </c>
      <c r="B386" s="87" t="s">
        <v>1140</v>
      </c>
      <c r="C386" s="83" t="s">
        <v>322</v>
      </c>
      <c r="D386" s="83" t="s">
        <v>897</v>
      </c>
      <c r="E386" s="83" t="s">
        <v>898</v>
      </c>
      <c r="F386" s="83" t="s">
        <v>899</v>
      </c>
      <c r="G386" s="83">
        <v>120</v>
      </c>
      <c r="H386" s="83" t="s">
        <v>753</v>
      </c>
      <c r="I386" s="85">
        <v>465</v>
      </c>
      <c r="J386" s="86">
        <v>37963</v>
      </c>
      <c r="K386" s="83"/>
      <c r="L386" s="93"/>
      <c r="M386" s="93"/>
    </row>
    <row r="387" s="17" customFormat="1" ht="26.25" customHeight="1" spans="1:13">
      <c r="A387" s="82">
        <f t="shared" si="5"/>
        <v>386</v>
      </c>
      <c r="B387" s="87" t="s">
        <v>1141</v>
      </c>
      <c r="C387" s="83" t="s">
        <v>322</v>
      </c>
      <c r="D387" s="83" t="s">
        <v>897</v>
      </c>
      <c r="E387" s="83" t="s">
        <v>898</v>
      </c>
      <c r="F387" s="83" t="s">
        <v>899</v>
      </c>
      <c r="G387" s="83">
        <v>120</v>
      </c>
      <c r="H387" s="83" t="s">
        <v>753</v>
      </c>
      <c r="I387" s="85">
        <v>1285</v>
      </c>
      <c r="J387" s="86">
        <v>37963</v>
      </c>
      <c r="K387" s="83"/>
      <c r="L387" s="93"/>
      <c r="M387" s="93"/>
    </row>
    <row r="388" s="17" customFormat="1" ht="26.25" customHeight="1" spans="1:13">
      <c r="A388" s="82">
        <f t="shared" ref="A388:A451" si="6">ROW(B388)-1</f>
        <v>387</v>
      </c>
      <c r="B388" s="87" t="s">
        <v>1142</v>
      </c>
      <c r="C388" s="83" t="s">
        <v>322</v>
      </c>
      <c r="D388" s="83" t="s">
        <v>897</v>
      </c>
      <c r="E388" s="83" t="s">
        <v>898</v>
      </c>
      <c r="F388" s="83" t="s">
        <v>899</v>
      </c>
      <c r="G388" s="83">
        <v>120</v>
      </c>
      <c r="H388" s="83" t="s">
        <v>753</v>
      </c>
      <c r="I388" s="85">
        <v>390</v>
      </c>
      <c r="J388" s="86">
        <v>37963</v>
      </c>
      <c r="K388" s="83"/>
      <c r="L388" s="93"/>
      <c r="M388" s="93"/>
    </row>
    <row r="389" s="17" customFormat="1" ht="26.25" customHeight="1" spans="1:13">
      <c r="A389" s="82">
        <f t="shared" si="6"/>
        <v>388</v>
      </c>
      <c r="B389" s="87" t="s">
        <v>1143</v>
      </c>
      <c r="C389" s="83" t="s">
        <v>322</v>
      </c>
      <c r="D389" s="83" t="s">
        <v>897</v>
      </c>
      <c r="E389" s="83" t="s">
        <v>898</v>
      </c>
      <c r="F389" s="83" t="s">
        <v>899</v>
      </c>
      <c r="G389" s="83">
        <v>120</v>
      </c>
      <c r="H389" s="83" t="s">
        <v>753</v>
      </c>
      <c r="I389" s="85">
        <v>1105</v>
      </c>
      <c r="J389" s="86">
        <v>37963</v>
      </c>
      <c r="K389" s="83"/>
      <c r="L389" s="93"/>
      <c r="M389" s="93"/>
    </row>
    <row r="390" s="17" customFormat="1" ht="26.25" customHeight="1" spans="1:13">
      <c r="A390" s="82">
        <f t="shared" si="6"/>
        <v>389</v>
      </c>
      <c r="B390" s="87" t="s">
        <v>1144</v>
      </c>
      <c r="C390" s="83" t="s">
        <v>322</v>
      </c>
      <c r="D390" s="83" t="s">
        <v>897</v>
      </c>
      <c r="E390" s="83" t="s">
        <v>898</v>
      </c>
      <c r="F390" s="83" t="s">
        <v>899</v>
      </c>
      <c r="G390" s="83">
        <v>120</v>
      </c>
      <c r="H390" s="83" t="s">
        <v>753</v>
      </c>
      <c r="I390" s="85">
        <v>945</v>
      </c>
      <c r="J390" s="86">
        <v>37963</v>
      </c>
      <c r="K390" s="83"/>
      <c r="L390" s="93"/>
      <c r="M390" s="93"/>
    </row>
    <row r="391" s="17" customFormat="1" ht="26.25" customHeight="1" spans="1:13">
      <c r="A391" s="82">
        <f t="shared" si="6"/>
        <v>390</v>
      </c>
      <c r="B391" s="87" t="s">
        <v>1145</v>
      </c>
      <c r="C391" s="83" t="s">
        <v>322</v>
      </c>
      <c r="D391" s="83" t="s">
        <v>897</v>
      </c>
      <c r="E391" s="83" t="s">
        <v>898</v>
      </c>
      <c r="F391" s="83" t="s">
        <v>899</v>
      </c>
      <c r="G391" s="83">
        <v>120</v>
      </c>
      <c r="H391" s="83" t="s">
        <v>753</v>
      </c>
      <c r="I391" s="85">
        <v>105</v>
      </c>
      <c r="J391" s="86">
        <v>37963</v>
      </c>
      <c r="K391" s="83"/>
      <c r="L391" s="93"/>
      <c r="M391" s="93"/>
    </row>
    <row r="392" s="17" customFormat="1" ht="26.25" customHeight="1" spans="1:13">
      <c r="A392" s="82">
        <f t="shared" si="6"/>
        <v>391</v>
      </c>
      <c r="B392" s="87" t="s">
        <v>1146</v>
      </c>
      <c r="C392" s="83" t="s">
        <v>322</v>
      </c>
      <c r="D392" s="83" t="s">
        <v>897</v>
      </c>
      <c r="E392" s="83" t="s">
        <v>898</v>
      </c>
      <c r="F392" s="83" t="s">
        <v>899</v>
      </c>
      <c r="G392" s="83">
        <v>120</v>
      </c>
      <c r="H392" s="83" t="s">
        <v>753</v>
      </c>
      <c r="I392" s="85">
        <v>60</v>
      </c>
      <c r="J392" s="86">
        <v>37963</v>
      </c>
      <c r="K392" s="83"/>
      <c r="L392" s="93"/>
      <c r="M392" s="93"/>
    </row>
    <row r="393" s="17" customFormat="1" ht="26.25" customHeight="1" spans="1:13">
      <c r="A393" s="82">
        <f t="shared" si="6"/>
        <v>392</v>
      </c>
      <c r="B393" s="87" t="s">
        <v>1147</v>
      </c>
      <c r="C393" s="83" t="s">
        <v>322</v>
      </c>
      <c r="D393" s="83" t="s">
        <v>897</v>
      </c>
      <c r="E393" s="83" t="s">
        <v>898</v>
      </c>
      <c r="F393" s="83" t="s">
        <v>899</v>
      </c>
      <c r="G393" s="83">
        <v>120</v>
      </c>
      <c r="H393" s="83" t="s">
        <v>753</v>
      </c>
      <c r="I393" s="85">
        <v>2140</v>
      </c>
      <c r="J393" s="86">
        <v>37963</v>
      </c>
      <c r="K393" s="83"/>
      <c r="L393" s="93"/>
      <c r="M393" s="93"/>
    </row>
    <row r="394" s="17" customFormat="1" ht="26.25" customHeight="1" spans="1:13">
      <c r="A394" s="82">
        <f t="shared" si="6"/>
        <v>393</v>
      </c>
      <c r="B394" s="87" t="s">
        <v>1148</v>
      </c>
      <c r="C394" s="83" t="s">
        <v>322</v>
      </c>
      <c r="D394" s="83" t="s">
        <v>897</v>
      </c>
      <c r="E394" s="83" t="s">
        <v>898</v>
      </c>
      <c r="F394" s="83" t="s">
        <v>899</v>
      </c>
      <c r="G394" s="83">
        <v>120</v>
      </c>
      <c r="H394" s="83" t="s">
        <v>753</v>
      </c>
      <c r="I394" s="85">
        <v>180</v>
      </c>
      <c r="J394" s="86">
        <v>37963</v>
      </c>
      <c r="K394" s="83"/>
      <c r="L394" s="93"/>
      <c r="M394" s="93"/>
    </row>
    <row r="395" s="17" customFormat="1" ht="26.25" customHeight="1" spans="1:13">
      <c r="A395" s="82">
        <f t="shared" si="6"/>
        <v>394</v>
      </c>
      <c r="B395" s="87" t="s">
        <v>1149</v>
      </c>
      <c r="C395" s="83" t="s">
        <v>322</v>
      </c>
      <c r="D395" s="83" t="s">
        <v>897</v>
      </c>
      <c r="E395" s="83" t="s">
        <v>898</v>
      </c>
      <c r="F395" s="83" t="s">
        <v>899</v>
      </c>
      <c r="G395" s="83">
        <v>120</v>
      </c>
      <c r="H395" s="83" t="s">
        <v>753</v>
      </c>
      <c r="I395" s="85">
        <v>1730</v>
      </c>
      <c r="J395" s="86">
        <v>37963</v>
      </c>
      <c r="K395" s="83"/>
      <c r="L395" s="93"/>
      <c r="M395" s="93"/>
    </row>
    <row r="396" s="17" customFormat="1" ht="26.25" customHeight="1" spans="1:13">
      <c r="A396" s="82">
        <f t="shared" si="6"/>
        <v>395</v>
      </c>
      <c r="B396" s="87" t="s">
        <v>1150</v>
      </c>
      <c r="C396" s="83" t="s">
        <v>322</v>
      </c>
      <c r="D396" s="83" t="s">
        <v>897</v>
      </c>
      <c r="E396" s="83" t="s">
        <v>898</v>
      </c>
      <c r="F396" s="83" t="s">
        <v>899</v>
      </c>
      <c r="G396" s="83">
        <v>120</v>
      </c>
      <c r="H396" s="83" t="s">
        <v>753</v>
      </c>
      <c r="I396" s="85">
        <v>330</v>
      </c>
      <c r="J396" s="86">
        <v>37963</v>
      </c>
      <c r="K396" s="83"/>
      <c r="L396" s="93"/>
      <c r="M396" s="93"/>
    </row>
    <row r="397" s="17" customFormat="1" ht="26.25" customHeight="1" spans="1:13">
      <c r="A397" s="82">
        <f t="shared" si="6"/>
        <v>396</v>
      </c>
      <c r="B397" s="87" t="s">
        <v>1151</v>
      </c>
      <c r="C397" s="83" t="s">
        <v>322</v>
      </c>
      <c r="D397" s="83" t="s">
        <v>897</v>
      </c>
      <c r="E397" s="83" t="s">
        <v>898</v>
      </c>
      <c r="F397" s="83" t="s">
        <v>899</v>
      </c>
      <c r="G397" s="83">
        <v>120</v>
      </c>
      <c r="H397" s="83" t="s">
        <v>753</v>
      </c>
      <c r="I397" s="85">
        <v>165</v>
      </c>
      <c r="J397" s="86">
        <v>37963</v>
      </c>
      <c r="K397" s="83"/>
      <c r="L397" s="93"/>
      <c r="M397" s="93"/>
    </row>
    <row r="398" s="17" customFormat="1" ht="26.25" customHeight="1" spans="1:13">
      <c r="A398" s="82">
        <f t="shared" si="6"/>
        <v>397</v>
      </c>
      <c r="B398" s="87" t="s">
        <v>1152</v>
      </c>
      <c r="C398" s="83" t="s">
        <v>322</v>
      </c>
      <c r="D398" s="83" t="s">
        <v>897</v>
      </c>
      <c r="E398" s="83" t="s">
        <v>898</v>
      </c>
      <c r="F398" s="83" t="s">
        <v>899</v>
      </c>
      <c r="G398" s="83">
        <v>120</v>
      </c>
      <c r="H398" s="83" t="s">
        <v>753</v>
      </c>
      <c r="I398" s="85">
        <v>750</v>
      </c>
      <c r="J398" s="86">
        <v>37963</v>
      </c>
      <c r="K398" s="83"/>
      <c r="L398" s="93"/>
      <c r="M398" s="93"/>
    </row>
    <row r="399" s="17" customFormat="1" ht="26.25" customHeight="1" spans="1:13">
      <c r="A399" s="82">
        <f t="shared" si="6"/>
        <v>398</v>
      </c>
      <c r="B399" s="87" t="s">
        <v>1153</v>
      </c>
      <c r="C399" s="83" t="s">
        <v>322</v>
      </c>
      <c r="D399" s="83" t="s">
        <v>897</v>
      </c>
      <c r="E399" s="83" t="s">
        <v>898</v>
      </c>
      <c r="F399" s="83" t="s">
        <v>899</v>
      </c>
      <c r="G399" s="83">
        <v>120</v>
      </c>
      <c r="H399" s="83" t="s">
        <v>753</v>
      </c>
      <c r="I399" s="19">
        <v>24</v>
      </c>
      <c r="J399" s="86">
        <v>37963</v>
      </c>
      <c r="K399" s="83"/>
    </row>
    <row r="400" s="17" customFormat="1" ht="26.25" customHeight="1" spans="1:13">
      <c r="A400" s="82">
        <f t="shared" si="6"/>
        <v>399</v>
      </c>
      <c r="B400" s="87" t="s">
        <v>1154</v>
      </c>
      <c r="C400" s="83" t="s">
        <v>322</v>
      </c>
      <c r="D400" s="83" t="s">
        <v>897</v>
      </c>
      <c r="E400" s="83" t="s">
        <v>898</v>
      </c>
      <c r="F400" s="83" t="s">
        <v>899</v>
      </c>
      <c r="G400" s="83">
        <v>120</v>
      </c>
      <c r="H400" s="83" t="s">
        <v>753</v>
      </c>
      <c r="I400" s="19">
        <v>148</v>
      </c>
      <c r="J400" s="86">
        <v>37963</v>
      </c>
      <c r="K400" s="83"/>
    </row>
    <row r="401" s="17" customFormat="1" ht="26.25" customHeight="1" spans="1:13">
      <c r="A401" s="82">
        <f t="shared" si="6"/>
        <v>400</v>
      </c>
      <c r="B401" s="87" t="s">
        <v>1155</v>
      </c>
      <c r="C401" s="83" t="s">
        <v>322</v>
      </c>
      <c r="D401" s="83" t="s">
        <v>897</v>
      </c>
      <c r="E401" s="83" t="s">
        <v>898</v>
      </c>
      <c r="F401" s="83" t="s">
        <v>899</v>
      </c>
      <c r="G401" s="83">
        <v>120</v>
      </c>
      <c r="H401" s="83" t="s">
        <v>753</v>
      </c>
      <c r="I401" s="19">
        <f>695-565</f>
        <v>130</v>
      </c>
      <c r="J401" s="86">
        <v>37963</v>
      </c>
      <c r="K401" s="83"/>
    </row>
    <row r="402" s="17" customFormat="1" ht="26.25" customHeight="1" spans="1:13">
      <c r="A402" s="82">
        <f t="shared" si="6"/>
        <v>401</v>
      </c>
      <c r="B402" s="87" t="s">
        <v>1156</v>
      </c>
      <c r="C402" s="83" t="s">
        <v>322</v>
      </c>
      <c r="D402" s="83" t="s">
        <v>897</v>
      </c>
      <c r="E402" s="83" t="s">
        <v>898</v>
      </c>
      <c r="F402" s="83" t="s">
        <v>899</v>
      </c>
      <c r="G402" s="83">
        <v>120</v>
      </c>
      <c r="H402" s="83" t="s">
        <v>753</v>
      </c>
      <c r="I402" s="19">
        <v>1000</v>
      </c>
      <c r="J402" s="86">
        <v>37963</v>
      </c>
      <c r="K402" s="83"/>
    </row>
    <row r="403" s="17" customFormat="1" ht="26.25" customHeight="1" spans="1:13">
      <c r="A403" s="82">
        <f t="shared" si="6"/>
        <v>402</v>
      </c>
      <c r="B403" s="87" t="s">
        <v>1157</v>
      </c>
      <c r="C403" s="83" t="s">
        <v>322</v>
      </c>
      <c r="D403" s="83" t="s">
        <v>897</v>
      </c>
      <c r="E403" s="83" t="s">
        <v>898</v>
      </c>
      <c r="F403" s="83" t="s">
        <v>899</v>
      </c>
      <c r="G403" s="83">
        <v>120</v>
      </c>
      <c r="H403" s="83" t="s">
        <v>753</v>
      </c>
      <c r="I403" s="19">
        <v>268</v>
      </c>
      <c r="J403" s="86">
        <v>37963</v>
      </c>
      <c r="K403" s="83"/>
    </row>
    <row r="404" s="17" customFormat="1" ht="26.25" customHeight="1" spans="1:13">
      <c r="A404" s="82">
        <f t="shared" si="6"/>
        <v>403</v>
      </c>
      <c r="B404" s="87" t="s">
        <v>1158</v>
      </c>
      <c r="C404" s="83" t="s">
        <v>322</v>
      </c>
      <c r="D404" s="83" t="s">
        <v>897</v>
      </c>
      <c r="E404" s="83" t="s">
        <v>898</v>
      </c>
      <c r="F404" s="83" t="s">
        <v>899</v>
      </c>
      <c r="G404" s="83">
        <v>120</v>
      </c>
      <c r="H404" s="83" t="s">
        <v>753</v>
      </c>
      <c r="I404" s="19">
        <f>900-60-30</f>
        <v>810</v>
      </c>
      <c r="J404" s="86">
        <v>37963</v>
      </c>
      <c r="K404" s="83"/>
    </row>
    <row r="405" s="17" customFormat="1" ht="26.25" customHeight="1" spans="1:13">
      <c r="A405" s="82">
        <f t="shared" si="6"/>
        <v>404</v>
      </c>
      <c r="B405" s="87" t="s">
        <v>1159</v>
      </c>
      <c r="C405" s="83" t="s">
        <v>322</v>
      </c>
      <c r="D405" s="83" t="s">
        <v>897</v>
      </c>
      <c r="E405" s="83" t="s">
        <v>898</v>
      </c>
      <c r="F405" s="83" t="s">
        <v>899</v>
      </c>
      <c r="G405" s="83">
        <v>120</v>
      </c>
      <c r="H405" s="83" t="s">
        <v>753</v>
      </c>
      <c r="I405" s="19">
        <v>268</v>
      </c>
      <c r="J405" s="86">
        <v>37963</v>
      </c>
      <c r="K405" s="83"/>
    </row>
    <row r="406" s="17" customFormat="1" ht="26.25" customHeight="1" spans="1:13">
      <c r="A406" s="82">
        <f t="shared" si="6"/>
        <v>405</v>
      </c>
      <c r="B406" s="87" t="s">
        <v>1160</v>
      </c>
      <c r="C406" s="83" t="s">
        <v>322</v>
      </c>
      <c r="D406" s="83" t="s">
        <v>897</v>
      </c>
      <c r="E406" s="83" t="s">
        <v>898</v>
      </c>
      <c r="F406" s="83" t="s">
        <v>899</v>
      </c>
      <c r="G406" s="83">
        <v>120</v>
      </c>
      <c r="H406" s="83" t="s">
        <v>753</v>
      </c>
      <c r="I406" s="19">
        <v>1000</v>
      </c>
      <c r="J406" s="86">
        <v>37963</v>
      </c>
      <c r="K406" s="83"/>
    </row>
    <row r="407" s="17" customFormat="1" ht="26.25" customHeight="1" spans="1:13">
      <c r="A407" s="82">
        <f t="shared" si="6"/>
        <v>406</v>
      </c>
      <c r="B407" s="87" t="s">
        <v>1161</v>
      </c>
      <c r="C407" s="83" t="s">
        <v>322</v>
      </c>
      <c r="D407" s="83" t="s">
        <v>897</v>
      </c>
      <c r="E407" s="83" t="s">
        <v>898</v>
      </c>
      <c r="F407" s="83" t="s">
        <v>899</v>
      </c>
      <c r="G407" s="83">
        <v>120</v>
      </c>
      <c r="H407" s="83" t="s">
        <v>753</v>
      </c>
      <c r="I407" s="19">
        <f>913-241</f>
        <v>672</v>
      </c>
      <c r="J407" s="86">
        <v>37963</v>
      </c>
      <c r="K407" s="83"/>
    </row>
    <row r="408" s="17" customFormat="1" ht="26.25" customHeight="1" spans="1:13">
      <c r="A408" s="82">
        <f t="shared" si="6"/>
        <v>407</v>
      </c>
      <c r="B408" s="87" t="s">
        <v>1162</v>
      </c>
      <c r="C408" s="83" t="s">
        <v>322</v>
      </c>
      <c r="D408" s="83" t="s">
        <v>897</v>
      </c>
      <c r="E408" s="83" t="s">
        <v>898</v>
      </c>
      <c r="F408" s="83" t="s">
        <v>899</v>
      </c>
      <c r="G408" s="83">
        <v>120</v>
      </c>
      <c r="H408" s="83" t="s">
        <v>753</v>
      </c>
      <c r="I408" s="19">
        <v>1000</v>
      </c>
      <c r="J408" s="86">
        <v>37963</v>
      </c>
      <c r="K408" s="83"/>
    </row>
    <row r="409" s="17" customFormat="1" ht="26.25" customHeight="1" spans="1:13">
      <c r="A409" s="82">
        <f t="shared" si="6"/>
        <v>408</v>
      </c>
      <c r="B409" s="87" t="s">
        <v>1163</v>
      </c>
      <c r="C409" s="83" t="s">
        <v>322</v>
      </c>
      <c r="D409" s="83" t="s">
        <v>897</v>
      </c>
      <c r="E409" s="83" t="s">
        <v>898</v>
      </c>
      <c r="F409" s="83" t="s">
        <v>899</v>
      </c>
      <c r="G409" s="83">
        <v>120</v>
      </c>
      <c r="H409" s="83" t="s">
        <v>753</v>
      </c>
      <c r="I409" s="19">
        <f>26182-25958</f>
        <v>224</v>
      </c>
      <c r="J409" s="86">
        <v>37963</v>
      </c>
      <c r="K409" s="83"/>
    </row>
    <row r="410" s="17" customFormat="1" ht="26.25" customHeight="1" spans="1:13">
      <c r="A410" s="82">
        <f t="shared" si="6"/>
        <v>409</v>
      </c>
      <c r="B410" s="87" t="s">
        <v>1164</v>
      </c>
      <c r="C410" s="83" t="s">
        <v>322</v>
      </c>
      <c r="D410" s="83" t="s">
        <v>897</v>
      </c>
      <c r="E410" s="83" t="s">
        <v>898</v>
      </c>
      <c r="F410" s="83" t="s">
        <v>899</v>
      </c>
      <c r="G410" s="83">
        <v>120</v>
      </c>
      <c r="H410" s="83" t="s">
        <v>753</v>
      </c>
      <c r="I410" s="19">
        <v>200</v>
      </c>
      <c r="J410" s="86">
        <v>37963</v>
      </c>
      <c r="K410" s="83"/>
    </row>
    <row r="411" s="17" customFormat="1" ht="26.25" customHeight="1" spans="1:13">
      <c r="A411" s="82">
        <f t="shared" si="6"/>
        <v>410</v>
      </c>
      <c r="B411" s="87" t="s">
        <v>1165</v>
      </c>
      <c r="C411" s="83" t="s">
        <v>322</v>
      </c>
      <c r="D411" s="83" t="s">
        <v>897</v>
      </c>
      <c r="E411" s="83" t="s">
        <v>898</v>
      </c>
      <c r="F411" s="83" t="s">
        <v>899</v>
      </c>
      <c r="G411" s="83">
        <v>120</v>
      </c>
      <c r="H411" s="83" t="s">
        <v>753</v>
      </c>
      <c r="I411" s="19">
        <v>495</v>
      </c>
      <c r="J411" s="86">
        <v>37963</v>
      </c>
      <c r="K411" s="83"/>
    </row>
    <row r="412" s="17" customFormat="1" ht="26.25" customHeight="1" spans="1:13">
      <c r="A412" s="82">
        <f t="shared" si="6"/>
        <v>411</v>
      </c>
      <c r="B412" s="87" t="s">
        <v>1166</v>
      </c>
      <c r="C412" s="83" t="s">
        <v>322</v>
      </c>
      <c r="D412" s="83" t="s">
        <v>897</v>
      </c>
      <c r="E412" s="83" t="s">
        <v>898</v>
      </c>
      <c r="F412" s="83" t="s">
        <v>899</v>
      </c>
      <c r="G412" s="83">
        <v>120</v>
      </c>
      <c r="H412" s="83" t="s">
        <v>753</v>
      </c>
      <c r="I412" s="19">
        <f>29391-28951</f>
        <v>440</v>
      </c>
      <c r="J412" s="86">
        <v>37963</v>
      </c>
      <c r="K412" s="83"/>
    </row>
    <row r="413" s="17" customFormat="1" ht="26.25" customHeight="1" spans="1:13">
      <c r="A413" s="82">
        <f t="shared" si="6"/>
        <v>412</v>
      </c>
      <c r="B413" s="87" t="s">
        <v>1167</v>
      </c>
      <c r="C413" s="83" t="s">
        <v>322</v>
      </c>
      <c r="D413" s="83" t="s">
        <v>897</v>
      </c>
      <c r="E413" s="83" t="s">
        <v>898</v>
      </c>
      <c r="F413" s="83" t="s">
        <v>899</v>
      </c>
      <c r="G413" s="83">
        <v>120</v>
      </c>
      <c r="H413" s="83" t="s">
        <v>753</v>
      </c>
      <c r="I413" s="19">
        <v>1000</v>
      </c>
      <c r="J413" s="86">
        <v>37963</v>
      </c>
      <c r="K413" s="83"/>
      <c r="L413" s="93"/>
      <c r="M413" s="93"/>
    </row>
    <row r="414" s="17" customFormat="1" ht="26.25" customHeight="1" spans="1:13">
      <c r="A414" s="82">
        <f t="shared" si="6"/>
        <v>413</v>
      </c>
      <c r="B414" s="87" t="s">
        <v>1168</v>
      </c>
      <c r="C414" s="83" t="s">
        <v>322</v>
      </c>
      <c r="D414" s="83" t="s">
        <v>897</v>
      </c>
      <c r="E414" s="83" t="s">
        <v>898</v>
      </c>
      <c r="F414" s="83" t="s">
        <v>899</v>
      </c>
      <c r="G414" s="83">
        <v>120</v>
      </c>
      <c r="H414" s="83" t="s">
        <v>753</v>
      </c>
      <c r="I414" s="19">
        <v>1000</v>
      </c>
      <c r="J414" s="86">
        <v>37963</v>
      </c>
      <c r="K414" s="83"/>
      <c r="L414" s="93"/>
      <c r="M414" s="93"/>
    </row>
    <row r="415" s="17" customFormat="1" ht="26.25" customHeight="1" spans="1:13">
      <c r="A415" s="82">
        <f t="shared" si="6"/>
        <v>414</v>
      </c>
      <c r="B415" s="87" t="s">
        <v>1169</v>
      </c>
      <c r="C415" s="83" t="s">
        <v>322</v>
      </c>
      <c r="D415" s="83" t="s">
        <v>897</v>
      </c>
      <c r="E415" s="83" t="s">
        <v>898</v>
      </c>
      <c r="F415" s="83" t="s">
        <v>899</v>
      </c>
      <c r="G415" s="83">
        <v>120</v>
      </c>
      <c r="H415" s="83" t="s">
        <v>753</v>
      </c>
      <c r="I415" s="19">
        <f>683-415</f>
        <v>268</v>
      </c>
      <c r="J415" s="86">
        <v>37963</v>
      </c>
      <c r="K415" s="83"/>
      <c r="L415" s="93"/>
      <c r="M415" s="93"/>
    </row>
    <row r="416" s="17" customFormat="1" ht="26.25" customHeight="1" spans="1:13">
      <c r="A416" s="82">
        <f t="shared" si="6"/>
        <v>415</v>
      </c>
      <c r="B416" s="87" t="s">
        <v>1170</v>
      </c>
      <c r="C416" s="83" t="s">
        <v>322</v>
      </c>
      <c r="D416" s="83" t="s">
        <v>897</v>
      </c>
      <c r="E416" s="83" t="s">
        <v>898</v>
      </c>
      <c r="F416" s="83" t="s">
        <v>899</v>
      </c>
      <c r="G416" s="83">
        <v>120</v>
      </c>
      <c r="H416" s="83" t="s">
        <v>753</v>
      </c>
      <c r="I416" s="19">
        <f>32249-31793</f>
        <v>456</v>
      </c>
      <c r="J416" s="86">
        <v>37963</v>
      </c>
      <c r="K416" s="83"/>
      <c r="L416" s="93"/>
      <c r="M416" s="93"/>
    </row>
    <row r="417" s="17" customFormat="1" ht="26.25" customHeight="1" spans="1:13">
      <c r="A417" s="82">
        <f t="shared" si="6"/>
        <v>416</v>
      </c>
      <c r="B417" s="87" t="s">
        <v>1171</v>
      </c>
      <c r="C417" s="83" t="s">
        <v>322</v>
      </c>
      <c r="D417" s="83" t="s">
        <v>897</v>
      </c>
      <c r="E417" s="83" t="s">
        <v>898</v>
      </c>
      <c r="F417" s="83" t="s">
        <v>899</v>
      </c>
      <c r="G417" s="83">
        <v>120</v>
      </c>
      <c r="H417" s="83" t="s">
        <v>753</v>
      </c>
      <c r="I417" s="19">
        <f>502-294</f>
        <v>208</v>
      </c>
      <c r="J417" s="86">
        <v>37963</v>
      </c>
      <c r="K417" s="83"/>
      <c r="L417" s="93"/>
      <c r="M417" s="93"/>
    </row>
    <row r="418" s="17" customFormat="1" ht="26.25" customHeight="1" spans="1:13">
      <c r="A418" s="82">
        <f t="shared" si="6"/>
        <v>417</v>
      </c>
      <c r="B418" s="87" t="s">
        <v>1172</v>
      </c>
      <c r="C418" s="83" t="s">
        <v>322</v>
      </c>
      <c r="D418" s="83" t="s">
        <v>897</v>
      </c>
      <c r="E418" s="83" t="s">
        <v>898</v>
      </c>
      <c r="F418" s="83" t="s">
        <v>899</v>
      </c>
      <c r="G418" s="83">
        <v>120</v>
      </c>
      <c r="H418" s="83" t="s">
        <v>753</v>
      </c>
      <c r="I418" s="19">
        <f>33447-32527-16</f>
        <v>904</v>
      </c>
      <c r="J418" s="86">
        <v>37963</v>
      </c>
      <c r="K418" s="83"/>
      <c r="L418" s="93"/>
      <c r="M418" s="93"/>
    </row>
    <row r="419" s="17" customFormat="1" ht="26.25" customHeight="1" spans="1:13">
      <c r="A419" s="82">
        <f t="shared" si="6"/>
        <v>418</v>
      </c>
      <c r="B419" s="87" t="s">
        <v>1173</v>
      </c>
      <c r="C419" s="83" t="s">
        <v>322</v>
      </c>
      <c r="D419" s="83" t="s">
        <v>897</v>
      </c>
      <c r="E419" s="83" t="s">
        <v>898</v>
      </c>
      <c r="F419" s="83" t="s">
        <v>899</v>
      </c>
      <c r="G419" s="83">
        <v>120</v>
      </c>
      <c r="H419" s="83" t="s">
        <v>753</v>
      </c>
      <c r="I419" s="19">
        <f>856-500</f>
        <v>356</v>
      </c>
      <c r="J419" s="86">
        <v>37963</v>
      </c>
      <c r="K419" s="83"/>
      <c r="L419" s="93"/>
      <c r="M419" s="93"/>
    </row>
    <row r="420" s="17" customFormat="1" ht="26.25" customHeight="1" spans="1:13">
      <c r="A420" s="82">
        <f t="shared" si="6"/>
        <v>419</v>
      </c>
      <c r="B420" s="87" t="s">
        <v>1174</v>
      </c>
      <c r="C420" s="83" t="s">
        <v>322</v>
      </c>
      <c r="D420" s="83" t="s">
        <v>897</v>
      </c>
      <c r="E420" s="83" t="s">
        <v>898</v>
      </c>
      <c r="F420" s="83" t="s">
        <v>899</v>
      </c>
      <c r="G420" s="83">
        <v>120</v>
      </c>
      <c r="H420" s="83" t="s">
        <v>753</v>
      </c>
      <c r="I420" s="19">
        <f>34430-33926+88</f>
        <v>592</v>
      </c>
      <c r="J420" s="86">
        <v>37963</v>
      </c>
      <c r="K420" s="83"/>
      <c r="L420" s="93"/>
      <c r="M420" s="93"/>
    </row>
    <row r="421" s="17" customFormat="1" ht="26.25" customHeight="1" spans="1:13">
      <c r="A421" s="82">
        <f t="shared" si="6"/>
        <v>420</v>
      </c>
      <c r="B421" s="87" t="s">
        <v>1175</v>
      </c>
      <c r="C421" s="83" t="s">
        <v>322</v>
      </c>
      <c r="D421" s="83" t="s">
        <v>897</v>
      </c>
      <c r="E421" s="83" t="s">
        <v>898</v>
      </c>
      <c r="F421" s="83" t="s">
        <v>899</v>
      </c>
      <c r="G421" s="83">
        <v>120</v>
      </c>
      <c r="H421" s="83" t="s">
        <v>753</v>
      </c>
      <c r="I421" s="19">
        <f>35310-34990</f>
        <v>320</v>
      </c>
      <c r="J421" s="86">
        <v>37963</v>
      </c>
      <c r="K421" s="83"/>
      <c r="L421" s="93"/>
      <c r="M421" s="93"/>
    </row>
    <row r="422" s="17" customFormat="1" ht="26.25" customHeight="1" spans="1:13">
      <c r="A422" s="82">
        <f t="shared" si="6"/>
        <v>421</v>
      </c>
      <c r="B422" s="87" t="s">
        <v>1176</v>
      </c>
      <c r="C422" s="83" t="s">
        <v>322</v>
      </c>
      <c r="D422" s="83" t="s">
        <v>897</v>
      </c>
      <c r="E422" s="83" t="s">
        <v>898</v>
      </c>
      <c r="F422" s="83" t="s">
        <v>899</v>
      </c>
      <c r="G422" s="83">
        <v>120</v>
      </c>
      <c r="H422" s="83" t="s">
        <v>753</v>
      </c>
      <c r="I422" s="19">
        <f>958-350</f>
        <v>608</v>
      </c>
      <c r="J422" s="86">
        <v>37963</v>
      </c>
      <c r="K422" s="83"/>
      <c r="L422" s="93"/>
      <c r="M422" s="93"/>
    </row>
    <row r="423" s="17" customFormat="1" ht="26.25" customHeight="1" spans="1:13">
      <c r="A423" s="82">
        <f t="shared" si="6"/>
        <v>422</v>
      </c>
      <c r="B423" s="87" t="s">
        <v>1177</v>
      </c>
      <c r="C423" s="83" t="s">
        <v>322</v>
      </c>
      <c r="D423" s="83" t="s">
        <v>897</v>
      </c>
      <c r="E423" s="83" t="s">
        <v>898</v>
      </c>
      <c r="F423" s="83" t="s">
        <v>899</v>
      </c>
      <c r="G423" s="83">
        <v>120</v>
      </c>
      <c r="H423" s="83" t="s">
        <v>753</v>
      </c>
      <c r="I423" s="19">
        <v>856</v>
      </c>
      <c r="J423" s="86">
        <v>37963</v>
      </c>
      <c r="K423" s="83"/>
      <c r="L423" s="93"/>
      <c r="M423" s="93"/>
    </row>
    <row r="424" s="17" customFormat="1" ht="26.25" customHeight="1" spans="1:13">
      <c r="A424" s="82">
        <f t="shared" si="6"/>
        <v>423</v>
      </c>
      <c r="B424" s="87" t="s">
        <v>1178</v>
      </c>
      <c r="C424" s="83" t="s">
        <v>322</v>
      </c>
      <c r="D424" s="83" t="s">
        <v>897</v>
      </c>
      <c r="E424" s="83" t="s">
        <v>898</v>
      </c>
      <c r="F424" s="83" t="s">
        <v>899</v>
      </c>
      <c r="G424" s="83">
        <v>120</v>
      </c>
      <c r="H424" s="83" t="s">
        <v>753</v>
      </c>
      <c r="I424" s="19">
        <f>312-288</f>
        <v>24</v>
      </c>
      <c r="J424" s="86">
        <v>37963</v>
      </c>
      <c r="K424" s="83"/>
      <c r="L424" s="93"/>
      <c r="M424" s="93"/>
    </row>
    <row r="425" s="17" customFormat="1" ht="26.25" customHeight="1" spans="1:13">
      <c r="A425" s="82">
        <f t="shared" si="6"/>
        <v>424</v>
      </c>
      <c r="B425" s="87" t="s">
        <v>1179</v>
      </c>
      <c r="C425" s="83" t="s">
        <v>322</v>
      </c>
      <c r="D425" s="83" t="s">
        <v>897</v>
      </c>
      <c r="E425" s="83" t="s">
        <v>898</v>
      </c>
      <c r="F425" s="83" t="s">
        <v>899</v>
      </c>
      <c r="G425" s="83">
        <v>120</v>
      </c>
      <c r="H425" s="83" t="s">
        <v>753</v>
      </c>
      <c r="I425" s="19">
        <f>449-337</f>
        <v>112</v>
      </c>
      <c r="J425" s="86">
        <v>37963</v>
      </c>
      <c r="K425" s="83"/>
      <c r="L425" s="93"/>
      <c r="M425" s="93"/>
    </row>
    <row r="426" s="17" customFormat="1" ht="26.25" customHeight="1" spans="1:13">
      <c r="A426" s="82">
        <f t="shared" si="6"/>
        <v>425</v>
      </c>
      <c r="B426" s="84" t="s">
        <v>1180</v>
      </c>
      <c r="C426" s="83" t="s">
        <v>322</v>
      </c>
      <c r="D426" s="83" t="s">
        <v>897</v>
      </c>
      <c r="E426" s="83" t="s">
        <v>898</v>
      </c>
      <c r="F426" s="83" t="s">
        <v>899</v>
      </c>
      <c r="G426" s="83">
        <v>120</v>
      </c>
      <c r="H426" s="83" t="s">
        <v>753</v>
      </c>
      <c r="I426" s="83">
        <v>74</v>
      </c>
      <c r="J426" s="86">
        <v>37963</v>
      </c>
      <c r="K426" s="83"/>
    </row>
    <row r="427" s="17" customFormat="1" ht="26.25" customHeight="1" spans="1:13">
      <c r="A427" s="82">
        <f t="shared" si="6"/>
        <v>426</v>
      </c>
      <c r="B427" s="84" t="s">
        <v>1181</v>
      </c>
      <c r="C427" s="83" t="s">
        <v>322</v>
      </c>
      <c r="D427" s="83" t="s">
        <v>897</v>
      </c>
      <c r="E427" s="83" t="s">
        <v>898</v>
      </c>
      <c r="F427" s="83" t="s">
        <v>899</v>
      </c>
      <c r="G427" s="83">
        <v>120</v>
      </c>
      <c r="H427" s="83" t="s">
        <v>753</v>
      </c>
      <c r="I427" s="83">
        <v>328</v>
      </c>
      <c r="J427" s="86">
        <v>37963</v>
      </c>
      <c r="K427" s="83"/>
    </row>
    <row r="428" s="17" customFormat="1" ht="26.25" customHeight="1" spans="1:13">
      <c r="A428" s="82">
        <f t="shared" si="6"/>
        <v>427</v>
      </c>
      <c r="B428" s="84" t="s">
        <v>1182</v>
      </c>
      <c r="C428" s="83" t="s">
        <v>322</v>
      </c>
      <c r="D428" s="83" t="s">
        <v>897</v>
      </c>
      <c r="E428" s="83" t="s">
        <v>898</v>
      </c>
      <c r="F428" s="83" t="s">
        <v>899</v>
      </c>
      <c r="G428" s="83">
        <v>120</v>
      </c>
      <c r="H428" s="83" t="s">
        <v>753</v>
      </c>
      <c r="I428" s="83">
        <v>1000</v>
      </c>
      <c r="J428" s="86">
        <v>37963</v>
      </c>
      <c r="K428" s="83"/>
    </row>
    <row r="429" s="17" customFormat="1" ht="26.25" customHeight="1" spans="1:13">
      <c r="A429" s="82">
        <f t="shared" si="6"/>
        <v>428</v>
      </c>
      <c r="B429" s="84" t="s">
        <v>1183</v>
      </c>
      <c r="C429" s="83" t="s">
        <v>322</v>
      </c>
      <c r="D429" s="83" t="s">
        <v>897</v>
      </c>
      <c r="E429" s="83" t="s">
        <v>898</v>
      </c>
      <c r="F429" s="83" t="s">
        <v>899</v>
      </c>
      <c r="G429" s="83">
        <v>120</v>
      </c>
      <c r="H429" s="83" t="s">
        <v>753</v>
      </c>
      <c r="I429" s="83">
        <v>1000</v>
      </c>
      <c r="J429" s="86">
        <v>37963</v>
      </c>
      <c r="K429" s="83"/>
    </row>
    <row r="430" s="17" customFormat="1" ht="26.25" customHeight="1" spans="1:13">
      <c r="A430" s="82">
        <f t="shared" si="6"/>
        <v>429</v>
      </c>
      <c r="B430" s="84" t="s">
        <v>1184</v>
      </c>
      <c r="C430" s="83" t="s">
        <v>322</v>
      </c>
      <c r="D430" s="83" t="s">
        <v>897</v>
      </c>
      <c r="E430" s="83" t="s">
        <v>898</v>
      </c>
      <c r="F430" s="83" t="s">
        <v>899</v>
      </c>
      <c r="G430" s="83">
        <v>120</v>
      </c>
      <c r="H430" s="83" t="s">
        <v>753</v>
      </c>
      <c r="I430" s="83">
        <v>388</v>
      </c>
      <c r="J430" s="86">
        <v>37963</v>
      </c>
      <c r="K430" s="83"/>
    </row>
    <row r="431" s="17" customFormat="1" ht="26.25" customHeight="1" spans="1:13">
      <c r="A431" s="82">
        <f t="shared" si="6"/>
        <v>430</v>
      </c>
      <c r="B431" s="84" t="s">
        <v>1185</v>
      </c>
      <c r="C431" s="83" t="s">
        <v>322</v>
      </c>
      <c r="D431" s="83" t="s">
        <v>897</v>
      </c>
      <c r="E431" s="83" t="s">
        <v>898</v>
      </c>
      <c r="F431" s="83" t="s">
        <v>899</v>
      </c>
      <c r="G431" s="83">
        <v>120</v>
      </c>
      <c r="H431" s="83" t="s">
        <v>753</v>
      </c>
      <c r="I431" s="83">
        <v>1000</v>
      </c>
      <c r="J431" s="86">
        <v>37963</v>
      </c>
      <c r="K431" s="83"/>
    </row>
    <row r="432" s="17" customFormat="1" ht="26.25" customHeight="1" spans="1:13">
      <c r="A432" s="82">
        <f t="shared" si="6"/>
        <v>431</v>
      </c>
      <c r="B432" s="84" t="s">
        <v>1186</v>
      </c>
      <c r="C432" s="83" t="s">
        <v>322</v>
      </c>
      <c r="D432" s="83" t="s">
        <v>897</v>
      </c>
      <c r="E432" s="83" t="s">
        <v>898</v>
      </c>
      <c r="F432" s="83" t="s">
        <v>899</v>
      </c>
      <c r="G432" s="83">
        <v>120</v>
      </c>
      <c r="H432" s="83" t="s">
        <v>753</v>
      </c>
      <c r="I432" s="83">
        <v>960</v>
      </c>
      <c r="J432" s="86">
        <v>37963</v>
      </c>
      <c r="K432" s="83"/>
    </row>
    <row r="433" s="17" customFormat="1" ht="26.25" customHeight="1" spans="1:11">
      <c r="A433" s="82">
        <f t="shared" si="6"/>
        <v>432</v>
      </c>
      <c r="B433" s="84" t="s">
        <v>1187</v>
      </c>
      <c r="C433" s="83" t="s">
        <v>322</v>
      </c>
      <c r="D433" s="83" t="s">
        <v>897</v>
      </c>
      <c r="E433" s="83" t="s">
        <v>898</v>
      </c>
      <c r="F433" s="83" t="s">
        <v>899</v>
      </c>
      <c r="G433" s="83">
        <v>120</v>
      </c>
      <c r="H433" s="83" t="s">
        <v>753</v>
      </c>
      <c r="I433" s="83">
        <v>302</v>
      </c>
      <c r="J433" s="86">
        <v>37963</v>
      </c>
      <c r="K433" s="83"/>
    </row>
    <row r="434" s="17" customFormat="1" ht="26.25" customHeight="1" spans="1:11">
      <c r="A434" s="82">
        <f t="shared" si="6"/>
        <v>433</v>
      </c>
      <c r="B434" s="84" t="s">
        <v>1188</v>
      </c>
      <c r="C434" s="83" t="s">
        <v>322</v>
      </c>
      <c r="D434" s="83" t="s">
        <v>897</v>
      </c>
      <c r="E434" s="83" t="s">
        <v>898</v>
      </c>
      <c r="F434" s="83" t="s">
        <v>899</v>
      </c>
      <c r="G434" s="83">
        <v>120</v>
      </c>
      <c r="H434" s="83" t="s">
        <v>753</v>
      </c>
      <c r="I434" s="83">
        <v>996</v>
      </c>
      <c r="J434" s="86">
        <v>37963</v>
      </c>
      <c r="K434" s="83"/>
    </row>
    <row r="435" s="17" customFormat="1" ht="26.25" customHeight="1" spans="1:11">
      <c r="A435" s="82">
        <f t="shared" si="6"/>
        <v>434</v>
      </c>
      <c r="B435" s="84" t="s">
        <v>1189</v>
      </c>
      <c r="C435" s="83" t="s">
        <v>322</v>
      </c>
      <c r="D435" s="83" t="s">
        <v>897</v>
      </c>
      <c r="E435" s="83" t="s">
        <v>898</v>
      </c>
      <c r="F435" s="83" t="s">
        <v>899</v>
      </c>
      <c r="G435" s="83">
        <v>120</v>
      </c>
      <c r="H435" s="83" t="s">
        <v>753</v>
      </c>
      <c r="I435" s="83">
        <v>320</v>
      </c>
      <c r="J435" s="86">
        <v>37963</v>
      </c>
      <c r="K435" s="83"/>
    </row>
    <row r="436" s="17" customFormat="1" ht="26.25" customHeight="1" spans="1:11">
      <c r="A436" s="82">
        <f t="shared" si="6"/>
        <v>435</v>
      </c>
      <c r="B436" s="84" t="s">
        <v>1190</v>
      </c>
      <c r="C436" s="83" t="s">
        <v>322</v>
      </c>
      <c r="D436" s="83" t="s">
        <v>897</v>
      </c>
      <c r="E436" s="83" t="s">
        <v>898</v>
      </c>
      <c r="F436" s="83" t="s">
        <v>899</v>
      </c>
      <c r="G436" s="83">
        <v>120</v>
      </c>
      <c r="H436" s="83" t="s">
        <v>753</v>
      </c>
      <c r="I436" s="83">
        <v>82</v>
      </c>
      <c r="J436" s="86">
        <v>37963</v>
      </c>
      <c r="K436" s="83"/>
    </row>
    <row r="437" s="17" customFormat="1" ht="26.25" customHeight="1" spans="1:11">
      <c r="A437" s="82">
        <f t="shared" si="6"/>
        <v>436</v>
      </c>
      <c r="B437" s="84" t="s">
        <v>1191</v>
      </c>
      <c r="C437" s="83" t="s">
        <v>322</v>
      </c>
      <c r="D437" s="83" t="s">
        <v>897</v>
      </c>
      <c r="E437" s="83" t="s">
        <v>898</v>
      </c>
      <c r="F437" s="83" t="s">
        <v>899</v>
      </c>
      <c r="G437" s="83">
        <v>120</v>
      </c>
      <c r="H437" s="83" t="s">
        <v>753</v>
      </c>
      <c r="I437" s="83">
        <v>150</v>
      </c>
      <c r="J437" s="86">
        <v>37963</v>
      </c>
      <c r="K437" s="83"/>
    </row>
    <row r="438" s="17" customFormat="1" ht="26.25" customHeight="1" spans="1:11">
      <c r="A438" s="82">
        <f t="shared" si="6"/>
        <v>437</v>
      </c>
      <c r="B438" s="84" t="s">
        <v>1192</v>
      </c>
      <c r="C438" s="83" t="s">
        <v>322</v>
      </c>
      <c r="D438" s="83" t="s">
        <v>897</v>
      </c>
      <c r="E438" s="83" t="s">
        <v>898</v>
      </c>
      <c r="F438" s="83" t="s">
        <v>899</v>
      </c>
      <c r="G438" s="83">
        <v>120</v>
      </c>
      <c r="H438" s="83" t="s">
        <v>753</v>
      </c>
      <c r="I438" s="83">
        <v>52</v>
      </c>
      <c r="J438" s="86">
        <v>37963</v>
      </c>
      <c r="K438" s="83"/>
    </row>
    <row r="439" s="17" customFormat="1" ht="26.25" customHeight="1" spans="1:11">
      <c r="A439" s="82">
        <f t="shared" si="6"/>
        <v>438</v>
      </c>
      <c r="B439" s="84" t="s">
        <v>1193</v>
      </c>
      <c r="C439" s="83" t="s">
        <v>322</v>
      </c>
      <c r="D439" s="83" t="s">
        <v>897</v>
      </c>
      <c r="E439" s="83" t="s">
        <v>898</v>
      </c>
      <c r="F439" s="83" t="s">
        <v>899</v>
      </c>
      <c r="G439" s="83">
        <v>120</v>
      </c>
      <c r="H439" s="83" t="s">
        <v>753</v>
      </c>
      <c r="I439" s="83">
        <v>204</v>
      </c>
      <c r="J439" s="86">
        <v>37963</v>
      </c>
      <c r="K439" s="83"/>
    </row>
    <row r="440" s="17" customFormat="1" ht="26.25" customHeight="1" spans="1:11">
      <c r="A440" s="82">
        <f t="shared" si="6"/>
        <v>439</v>
      </c>
      <c r="B440" s="84" t="s">
        <v>1194</v>
      </c>
      <c r="C440" s="83" t="s">
        <v>322</v>
      </c>
      <c r="D440" s="83" t="s">
        <v>897</v>
      </c>
      <c r="E440" s="83" t="s">
        <v>898</v>
      </c>
      <c r="F440" s="83" t="s">
        <v>899</v>
      </c>
      <c r="G440" s="83">
        <v>120</v>
      </c>
      <c r="H440" s="83" t="s">
        <v>753</v>
      </c>
      <c r="I440" s="83">
        <v>52</v>
      </c>
      <c r="J440" s="86">
        <v>37963</v>
      </c>
      <c r="K440" s="83"/>
    </row>
    <row r="441" s="17" customFormat="1" ht="26.25" customHeight="1" spans="1:11">
      <c r="A441" s="82">
        <f t="shared" si="6"/>
        <v>440</v>
      </c>
      <c r="B441" s="84" t="s">
        <v>1195</v>
      </c>
      <c r="C441" s="83" t="s">
        <v>322</v>
      </c>
      <c r="D441" s="83" t="s">
        <v>897</v>
      </c>
      <c r="E441" s="83" t="s">
        <v>898</v>
      </c>
      <c r="F441" s="83" t="s">
        <v>899</v>
      </c>
      <c r="G441" s="83">
        <v>120</v>
      </c>
      <c r="H441" s="83" t="s">
        <v>753</v>
      </c>
      <c r="I441" s="83">
        <v>62</v>
      </c>
      <c r="J441" s="86">
        <v>37963</v>
      </c>
      <c r="K441" s="83"/>
    </row>
    <row r="442" s="17" customFormat="1" ht="26.25" customHeight="1" spans="1:11">
      <c r="A442" s="82">
        <f t="shared" si="6"/>
        <v>441</v>
      </c>
      <c r="B442" s="84" t="s">
        <v>1196</v>
      </c>
      <c r="C442" s="83" t="s">
        <v>322</v>
      </c>
      <c r="D442" s="83" t="s">
        <v>897</v>
      </c>
      <c r="E442" s="83" t="s">
        <v>898</v>
      </c>
      <c r="F442" s="83" t="s">
        <v>899</v>
      </c>
      <c r="G442" s="83">
        <v>120</v>
      </c>
      <c r="H442" s="83" t="s">
        <v>753</v>
      </c>
      <c r="I442" s="83">
        <v>8</v>
      </c>
      <c r="J442" s="86">
        <v>37963</v>
      </c>
      <c r="K442" s="83"/>
    </row>
    <row r="443" s="17" customFormat="1" ht="26.25" customHeight="1" spans="1:11">
      <c r="A443" s="82">
        <f t="shared" si="6"/>
        <v>442</v>
      </c>
      <c r="B443" s="84" t="s">
        <v>1197</v>
      </c>
      <c r="C443" s="83" t="s">
        <v>322</v>
      </c>
      <c r="D443" s="83" t="s">
        <v>897</v>
      </c>
      <c r="E443" s="83" t="s">
        <v>898</v>
      </c>
      <c r="F443" s="83" t="s">
        <v>899</v>
      </c>
      <c r="G443" s="83">
        <v>120</v>
      </c>
      <c r="H443" s="83" t="s">
        <v>753</v>
      </c>
      <c r="I443" s="83">
        <v>1000</v>
      </c>
      <c r="J443" s="86">
        <v>37963</v>
      </c>
      <c r="K443" s="83"/>
    </row>
    <row r="444" s="17" customFormat="1" ht="26.25" customHeight="1" spans="1:11">
      <c r="A444" s="82">
        <f t="shared" si="6"/>
        <v>443</v>
      </c>
      <c r="B444" s="84" t="s">
        <v>1198</v>
      </c>
      <c r="C444" s="83" t="s">
        <v>322</v>
      </c>
      <c r="D444" s="83" t="s">
        <v>897</v>
      </c>
      <c r="E444" s="83" t="s">
        <v>898</v>
      </c>
      <c r="F444" s="83" t="s">
        <v>899</v>
      </c>
      <c r="G444" s="83">
        <v>120</v>
      </c>
      <c r="H444" s="83" t="s">
        <v>753</v>
      </c>
      <c r="I444" s="83">
        <v>132</v>
      </c>
      <c r="J444" s="86">
        <v>37963</v>
      </c>
      <c r="K444" s="83"/>
    </row>
    <row r="445" s="17" customFormat="1" ht="26.25" customHeight="1" spans="1:11">
      <c r="A445" s="82">
        <f t="shared" si="6"/>
        <v>444</v>
      </c>
      <c r="B445" s="84" t="s">
        <v>1199</v>
      </c>
      <c r="C445" s="83" t="s">
        <v>322</v>
      </c>
      <c r="D445" s="83" t="s">
        <v>897</v>
      </c>
      <c r="E445" s="83" t="s">
        <v>898</v>
      </c>
      <c r="F445" s="83" t="s">
        <v>899</v>
      </c>
      <c r="G445" s="83">
        <v>120</v>
      </c>
      <c r="H445" s="83" t="s">
        <v>753</v>
      </c>
      <c r="I445" s="83">
        <v>434</v>
      </c>
      <c r="J445" s="86">
        <v>37963</v>
      </c>
      <c r="K445" s="83"/>
    </row>
    <row r="446" s="17" customFormat="1" ht="26.25" customHeight="1" spans="1:11">
      <c r="A446" s="82">
        <f t="shared" si="6"/>
        <v>445</v>
      </c>
      <c r="B446" s="84" t="s">
        <v>1200</v>
      </c>
      <c r="C446" s="83" t="s">
        <v>322</v>
      </c>
      <c r="D446" s="83" t="s">
        <v>897</v>
      </c>
      <c r="E446" s="83" t="s">
        <v>898</v>
      </c>
      <c r="F446" s="83" t="s">
        <v>899</v>
      </c>
      <c r="G446" s="83">
        <v>120</v>
      </c>
      <c r="H446" s="83" t="s">
        <v>753</v>
      </c>
      <c r="I446" s="83">
        <v>138</v>
      </c>
      <c r="J446" s="86">
        <v>37963</v>
      </c>
      <c r="K446" s="83"/>
    </row>
    <row r="447" s="17" customFormat="1" ht="26.25" customHeight="1" spans="1:11">
      <c r="A447" s="82">
        <f t="shared" si="6"/>
        <v>446</v>
      </c>
      <c r="B447" s="84" t="s">
        <v>1201</v>
      </c>
      <c r="C447" s="83" t="s">
        <v>322</v>
      </c>
      <c r="D447" s="83" t="s">
        <v>897</v>
      </c>
      <c r="E447" s="83" t="s">
        <v>898</v>
      </c>
      <c r="F447" s="83" t="s">
        <v>899</v>
      </c>
      <c r="G447" s="83">
        <v>120</v>
      </c>
      <c r="H447" s="83" t="s">
        <v>753</v>
      </c>
      <c r="I447" s="83">
        <v>412</v>
      </c>
      <c r="J447" s="86">
        <v>37963</v>
      </c>
      <c r="K447" s="83"/>
    </row>
    <row r="448" s="17" customFormat="1" ht="26.25" customHeight="1" spans="1:11">
      <c r="A448" s="82">
        <f t="shared" si="6"/>
        <v>447</v>
      </c>
      <c r="B448" s="84" t="s">
        <v>1202</v>
      </c>
      <c r="C448" s="83" t="s">
        <v>322</v>
      </c>
      <c r="D448" s="83" t="s">
        <v>897</v>
      </c>
      <c r="E448" s="83" t="s">
        <v>898</v>
      </c>
      <c r="F448" s="83" t="s">
        <v>899</v>
      </c>
      <c r="G448" s="83">
        <v>120</v>
      </c>
      <c r="H448" s="83" t="s">
        <v>753</v>
      </c>
      <c r="I448" s="83">
        <v>384</v>
      </c>
      <c r="J448" s="86">
        <v>37963</v>
      </c>
      <c r="K448" s="83"/>
    </row>
    <row r="449" s="17" customFormat="1" ht="26.25" customHeight="1" spans="1:11">
      <c r="A449" s="82">
        <f t="shared" si="6"/>
        <v>448</v>
      </c>
      <c r="B449" s="84" t="s">
        <v>1203</v>
      </c>
      <c r="C449" s="83" t="s">
        <v>322</v>
      </c>
      <c r="D449" s="83" t="s">
        <v>897</v>
      </c>
      <c r="E449" s="83" t="s">
        <v>898</v>
      </c>
      <c r="F449" s="83" t="s">
        <v>899</v>
      </c>
      <c r="G449" s="83">
        <v>120</v>
      </c>
      <c r="H449" s="83" t="s">
        <v>753</v>
      </c>
      <c r="I449" s="83">
        <v>92</v>
      </c>
      <c r="J449" s="86">
        <v>37963</v>
      </c>
      <c r="K449" s="83"/>
    </row>
    <row r="450" s="17" customFormat="1" ht="26.25" customHeight="1" spans="1:11">
      <c r="A450" s="82">
        <f t="shared" si="6"/>
        <v>449</v>
      </c>
      <c r="B450" s="84" t="s">
        <v>1204</v>
      </c>
      <c r="C450" s="83" t="s">
        <v>322</v>
      </c>
      <c r="D450" s="83" t="s">
        <v>897</v>
      </c>
      <c r="E450" s="83" t="s">
        <v>898</v>
      </c>
      <c r="F450" s="83" t="s">
        <v>899</v>
      </c>
      <c r="G450" s="83">
        <v>120</v>
      </c>
      <c r="H450" s="83" t="s">
        <v>753</v>
      </c>
      <c r="I450" s="83">
        <v>92</v>
      </c>
      <c r="J450" s="86">
        <v>37963</v>
      </c>
      <c r="K450" s="83"/>
    </row>
    <row r="451" s="17" customFormat="1" ht="26.25" customHeight="1" spans="1:11">
      <c r="A451" s="82">
        <f t="shared" si="6"/>
        <v>450</v>
      </c>
      <c r="B451" s="84" t="s">
        <v>1205</v>
      </c>
      <c r="C451" s="83" t="s">
        <v>322</v>
      </c>
      <c r="D451" s="83" t="s">
        <v>897</v>
      </c>
      <c r="E451" s="83" t="s">
        <v>898</v>
      </c>
      <c r="F451" s="83" t="s">
        <v>899</v>
      </c>
      <c r="G451" s="83">
        <v>120</v>
      </c>
      <c r="H451" s="83" t="s">
        <v>753</v>
      </c>
      <c r="I451" s="83">
        <v>224</v>
      </c>
      <c r="J451" s="86">
        <v>37963</v>
      </c>
      <c r="K451" s="83"/>
    </row>
    <row r="452" s="17" customFormat="1" ht="26.25" customHeight="1" spans="1:11">
      <c r="A452" s="82">
        <f t="shared" ref="A452:A515" si="7">ROW(B452)-1</f>
        <v>451</v>
      </c>
      <c r="B452" s="84" t="s">
        <v>1206</v>
      </c>
      <c r="C452" s="83" t="s">
        <v>322</v>
      </c>
      <c r="D452" s="83" t="s">
        <v>897</v>
      </c>
      <c r="E452" s="83" t="s">
        <v>898</v>
      </c>
      <c r="F452" s="83" t="s">
        <v>899</v>
      </c>
      <c r="G452" s="83">
        <v>120</v>
      </c>
      <c r="H452" s="83" t="s">
        <v>753</v>
      </c>
      <c r="I452" s="85">
        <v>632</v>
      </c>
      <c r="J452" s="86">
        <v>37963</v>
      </c>
      <c r="K452" s="83"/>
    </row>
    <row r="453" s="17" customFormat="1" ht="26.25" customHeight="1" spans="1:11">
      <c r="A453" s="82">
        <f t="shared" si="7"/>
        <v>452</v>
      </c>
      <c r="B453" s="84" t="s">
        <v>1207</v>
      </c>
      <c r="C453" s="83" t="s">
        <v>322</v>
      </c>
      <c r="D453" s="83" t="s">
        <v>897</v>
      </c>
      <c r="E453" s="83" t="s">
        <v>898</v>
      </c>
      <c r="F453" s="83" t="s">
        <v>899</v>
      </c>
      <c r="G453" s="83">
        <v>120</v>
      </c>
      <c r="H453" s="83" t="s">
        <v>753</v>
      </c>
      <c r="I453" s="85">
        <v>468</v>
      </c>
      <c r="J453" s="86">
        <v>37963</v>
      </c>
      <c r="K453" s="83"/>
    </row>
    <row r="454" s="17" customFormat="1" ht="26.25" customHeight="1" spans="1:11">
      <c r="A454" s="82">
        <f t="shared" si="7"/>
        <v>453</v>
      </c>
      <c r="B454" s="84" t="s">
        <v>1208</v>
      </c>
      <c r="C454" s="83" t="s">
        <v>322</v>
      </c>
      <c r="D454" s="83" t="s">
        <v>897</v>
      </c>
      <c r="E454" s="83" t="s">
        <v>898</v>
      </c>
      <c r="F454" s="83" t="s">
        <v>899</v>
      </c>
      <c r="G454" s="83">
        <v>120</v>
      </c>
      <c r="H454" s="83" t="s">
        <v>753</v>
      </c>
      <c r="I454" s="85">
        <v>226</v>
      </c>
      <c r="J454" s="86">
        <v>37963</v>
      </c>
      <c r="K454" s="83"/>
    </row>
    <row r="455" s="17" customFormat="1" ht="26.25" customHeight="1" spans="1:11">
      <c r="A455" s="82">
        <f t="shared" si="7"/>
        <v>454</v>
      </c>
      <c r="B455" s="84" t="s">
        <v>1209</v>
      </c>
      <c r="C455" s="83" t="s">
        <v>322</v>
      </c>
      <c r="D455" s="83" t="s">
        <v>897</v>
      </c>
      <c r="E455" s="83" t="s">
        <v>898</v>
      </c>
      <c r="F455" s="83" t="s">
        <v>899</v>
      </c>
      <c r="G455" s="83">
        <v>120</v>
      </c>
      <c r="H455" s="83" t="s">
        <v>753</v>
      </c>
      <c r="I455" s="85">
        <v>140</v>
      </c>
      <c r="J455" s="86">
        <v>37963</v>
      </c>
      <c r="K455" s="83"/>
    </row>
    <row r="456" s="17" customFormat="1" ht="26.25" customHeight="1" spans="1:11">
      <c r="A456" s="82">
        <f t="shared" si="7"/>
        <v>455</v>
      </c>
      <c r="B456" s="84" t="s">
        <v>1210</v>
      </c>
      <c r="C456" s="83" t="s">
        <v>322</v>
      </c>
      <c r="D456" s="83" t="s">
        <v>897</v>
      </c>
      <c r="E456" s="83" t="s">
        <v>898</v>
      </c>
      <c r="F456" s="83" t="s">
        <v>899</v>
      </c>
      <c r="G456" s="83">
        <v>120</v>
      </c>
      <c r="H456" s="83" t="s">
        <v>753</v>
      </c>
      <c r="I456" s="85">
        <v>80</v>
      </c>
      <c r="J456" s="86">
        <v>37963</v>
      </c>
      <c r="K456" s="83"/>
    </row>
    <row r="457" s="17" customFormat="1" ht="26.25" customHeight="1" spans="1:11">
      <c r="A457" s="82">
        <f t="shared" si="7"/>
        <v>456</v>
      </c>
      <c r="B457" s="84" t="s">
        <v>1211</v>
      </c>
      <c r="C457" s="83" t="s">
        <v>322</v>
      </c>
      <c r="D457" s="83" t="s">
        <v>897</v>
      </c>
      <c r="E457" s="83" t="s">
        <v>898</v>
      </c>
      <c r="F457" s="83" t="s">
        <v>899</v>
      </c>
      <c r="G457" s="83">
        <v>120</v>
      </c>
      <c r="H457" s="83" t="s">
        <v>753</v>
      </c>
      <c r="I457" s="85">
        <v>212</v>
      </c>
      <c r="J457" s="86">
        <v>37963</v>
      </c>
      <c r="K457" s="83"/>
    </row>
    <row r="458" s="17" customFormat="1" ht="26.25" customHeight="1" spans="1:11">
      <c r="A458" s="82">
        <f t="shared" si="7"/>
        <v>457</v>
      </c>
      <c r="B458" s="84" t="s">
        <v>1212</v>
      </c>
      <c r="C458" s="83" t="s">
        <v>322</v>
      </c>
      <c r="D458" s="83" t="s">
        <v>897</v>
      </c>
      <c r="E458" s="83" t="s">
        <v>898</v>
      </c>
      <c r="F458" s="83" t="s">
        <v>899</v>
      </c>
      <c r="G458" s="83">
        <v>120</v>
      </c>
      <c r="H458" s="83" t="s">
        <v>753</v>
      </c>
      <c r="I458" s="85">
        <v>390</v>
      </c>
      <c r="J458" s="86">
        <v>37963</v>
      </c>
      <c r="K458" s="83"/>
    </row>
    <row r="459" s="17" customFormat="1" ht="26.25" customHeight="1" spans="1:11">
      <c r="A459" s="82">
        <f t="shared" si="7"/>
        <v>458</v>
      </c>
      <c r="B459" s="84" t="s">
        <v>1213</v>
      </c>
      <c r="C459" s="83" t="s">
        <v>322</v>
      </c>
      <c r="D459" s="83" t="s">
        <v>897</v>
      </c>
      <c r="E459" s="83" t="s">
        <v>898</v>
      </c>
      <c r="F459" s="83" t="s">
        <v>899</v>
      </c>
      <c r="G459" s="83">
        <v>120</v>
      </c>
      <c r="H459" s="83" t="s">
        <v>753</v>
      </c>
      <c r="I459" s="85">
        <v>256</v>
      </c>
      <c r="J459" s="86">
        <v>37963</v>
      </c>
      <c r="K459" s="83"/>
    </row>
    <row r="460" s="17" customFormat="1" ht="26.25" customHeight="1" spans="1:11">
      <c r="A460" s="82">
        <f t="shared" si="7"/>
        <v>459</v>
      </c>
      <c r="B460" s="84" t="s">
        <v>1214</v>
      </c>
      <c r="C460" s="83" t="s">
        <v>322</v>
      </c>
      <c r="D460" s="83" t="s">
        <v>897</v>
      </c>
      <c r="E460" s="83" t="s">
        <v>898</v>
      </c>
      <c r="F460" s="83" t="s">
        <v>899</v>
      </c>
      <c r="G460" s="83">
        <v>120</v>
      </c>
      <c r="H460" s="83" t="s">
        <v>753</v>
      </c>
      <c r="I460" s="85">
        <v>70</v>
      </c>
      <c r="J460" s="86">
        <v>37963</v>
      </c>
      <c r="K460" s="83"/>
    </row>
    <row r="461" s="17" customFormat="1" ht="26.25" customHeight="1" spans="1:11">
      <c r="A461" s="82">
        <f t="shared" si="7"/>
        <v>460</v>
      </c>
      <c r="B461" s="84" t="s">
        <v>1215</v>
      </c>
      <c r="C461" s="83" t="s">
        <v>322</v>
      </c>
      <c r="D461" s="83" t="s">
        <v>897</v>
      </c>
      <c r="E461" s="83" t="s">
        <v>898</v>
      </c>
      <c r="F461" s="83" t="s">
        <v>899</v>
      </c>
      <c r="G461" s="83">
        <v>120</v>
      </c>
      <c r="H461" s="83" t="s">
        <v>753</v>
      </c>
      <c r="I461" s="85">
        <v>132</v>
      </c>
      <c r="J461" s="86">
        <v>37963</v>
      </c>
      <c r="K461" s="83"/>
    </row>
    <row r="462" s="17" customFormat="1" ht="26.25" customHeight="1" spans="1:11">
      <c r="A462" s="82">
        <f t="shared" si="7"/>
        <v>461</v>
      </c>
      <c r="B462" s="84" t="s">
        <v>1216</v>
      </c>
      <c r="C462" s="83" t="s">
        <v>322</v>
      </c>
      <c r="D462" s="83" t="s">
        <v>897</v>
      </c>
      <c r="E462" s="83" t="s">
        <v>898</v>
      </c>
      <c r="F462" s="83" t="s">
        <v>899</v>
      </c>
      <c r="G462" s="83">
        <v>120</v>
      </c>
      <c r="H462" s="83" t="s">
        <v>753</v>
      </c>
      <c r="I462" s="85">
        <v>67</v>
      </c>
      <c r="J462" s="86">
        <v>37963</v>
      </c>
      <c r="K462" s="83"/>
    </row>
    <row r="463" s="17" customFormat="1" ht="26.25" customHeight="1" spans="1:11">
      <c r="A463" s="82">
        <f t="shared" si="7"/>
        <v>462</v>
      </c>
      <c r="B463" s="84" t="s">
        <v>1217</v>
      </c>
      <c r="C463" s="83" t="s">
        <v>322</v>
      </c>
      <c r="D463" s="83" t="s">
        <v>897</v>
      </c>
      <c r="E463" s="83" t="s">
        <v>898</v>
      </c>
      <c r="F463" s="83" t="s">
        <v>899</v>
      </c>
      <c r="G463" s="83">
        <v>120</v>
      </c>
      <c r="H463" s="83" t="s">
        <v>753</v>
      </c>
      <c r="I463" s="85">
        <v>1000</v>
      </c>
      <c r="J463" s="86">
        <v>37963</v>
      </c>
      <c r="K463" s="83"/>
    </row>
    <row r="464" s="17" customFormat="1" ht="26.25" customHeight="1" spans="1:11">
      <c r="A464" s="82">
        <f t="shared" si="7"/>
        <v>463</v>
      </c>
      <c r="B464" s="84" t="s">
        <v>1218</v>
      </c>
      <c r="C464" s="83" t="s">
        <v>322</v>
      </c>
      <c r="D464" s="83" t="s">
        <v>897</v>
      </c>
      <c r="E464" s="83" t="s">
        <v>898</v>
      </c>
      <c r="F464" s="83" t="s">
        <v>899</v>
      </c>
      <c r="G464" s="83">
        <v>120</v>
      </c>
      <c r="H464" s="83" t="s">
        <v>753</v>
      </c>
      <c r="I464" s="85">
        <v>232</v>
      </c>
      <c r="J464" s="86">
        <v>37963</v>
      </c>
      <c r="K464" s="83"/>
    </row>
    <row r="465" s="17" customFormat="1" ht="26.25" customHeight="1" spans="1:13">
      <c r="A465" s="82">
        <f t="shared" si="7"/>
        <v>464</v>
      </c>
      <c r="B465" s="84" t="s">
        <v>1219</v>
      </c>
      <c r="C465" s="83" t="s">
        <v>322</v>
      </c>
      <c r="D465" s="83" t="s">
        <v>897</v>
      </c>
      <c r="E465" s="83" t="s">
        <v>898</v>
      </c>
      <c r="F465" s="83" t="s">
        <v>899</v>
      </c>
      <c r="G465" s="83">
        <v>120</v>
      </c>
      <c r="H465" s="83" t="s">
        <v>753</v>
      </c>
      <c r="I465" s="85">
        <v>540</v>
      </c>
      <c r="J465" s="86">
        <v>37963</v>
      </c>
      <c r="K465" s="83"/>
    </row>
    <row r="466" s="17" customFormat="1" ht="26.25" customHeight="1" spans="1:13">
      <c r="A466" s="82">
        <f t="shared" si="7"/>
        <v>465</v>
      </c>
      <c r="B466" s="84" t="s">
        <v>1220</v>
      </c>
      <c r="C466" s="83" t="s">
        <v>322</v>
      </c>
      <c r="D466" s="83" t="s">
        <v>897</v>
      </c>
      <c r="E466" s="83" t="s">
        <v>898</v>
      </c>
      <c r="F466" s="83" t="s">
        <v>899</v>
      </c>
      <c r="G466" s="83">
        <v>120</v>
      </c>
      <c r="H466" s="83" t="s">
        <v>753</v>
      </c>
      <c r="I466" s="85">
        <v>688</v>
      </c>
      <c r="J466" s="86">
        <v>37963</v>
      </c>
      <c r="K466" s="83"/>
    </row>
    <row r="467" s="17" customFormat="1" ht="26.25" customHeight="1" spans="1:13">
      <c r="A467" s="82">
        <f t="shared" si="7"/>
        <v>466</v>
      </c>
      <c r="B467" s="84" t="s">
        <v>1221</v>
      </c>
      <c r="C467" s="83" t="s">
        <v>322</v>
      </c>
      <c r="D467" s="83" t="s">
        <v>897</v>
      </c>
      <c r="E467" s="83" t="s">
        <v>898</v>
      </c>
      <c r="F467" s="83" t="s">
        <v>899</v>
      </c>
      <c r="G467" s="83">
        <v>120</v>
      </c>
      <c r="H467" s="83" t="s">
        <v>753</v>
      </c>
      <c r="I467" s="85">
        <v>1000</v>
      </c>
      <c r="J467" s="86">
        <v>37963</v>
      </c>
      <c r="K467" s="83"/>
    </row>
    <row r="468" s="17" customFormat="1" ht="26.25" customHeight="1" spans="1:13">
      <c r="A468" s="82">
        <f t="shared" si="7"/>
        <v>467</v>
      </c>
      <c r="B468" s="84" t="s">
        <v>1222</v>
      </c>
      <c r="C468" s="83" t="s">
        <v>322</v>
      </c>
      <c r="D468" s="83" t="s">
        <v>897</v>
      </c>
      <c r="E468" s="83" t="s">
        <v>898</v>
      </c>
      <c r="F468" s="83" t="s">
        <v>899</v>
      </c>
      <c r="G468" s="83">
        <v>120</v>
      </c>
      <c r="H468" s="83" t="s">
        <v>753</v>
      </c>
      <c r="I468" s="85">
        <v>188</v>
      </c>
      <c r="J468" s="86">
        <v>37963</v>
      </c>
      <c r="K468" s="83"/>
    </row>
    <row r="469" s="17" customFormat="1" ht="26.25" customHeight="1" spans="1:13">
      <c r="A469" s="82">
        <f t="shared" si="7"/>
        <v>468</v>
      </c>
      <c r="B469" s="84" t="s">
        <v>1223</v>
      </c>
      <c r="C469" s="83" t="s">
        <v>322</v>
      </c>
      <c r="D469" s="83" t="s">
        <v>897</v>
      </c>
      <c r="E469" s="83" t="s">
        <v>898</v>
      </c>
      <c r="F469" s="83" t="s">
        <v>899</v>
      </c>
      <c r="G469" s="83">
        <v>120</v>
      </c>
      <c r="H469" s="83" t="s">
        <v>753</v>
      </c>
      <c r="I469" s="85">
        <v>154</v>
      </c>
      <c r="J469" s="86">
        <v>37963</v>
      </c>
      <c r="K469" s="83"/>
    </row>
    <row r="470" s="17" customFormat="1" ht="26.25" customHeight="1" spans="1:13">
      <c r="A470" s="82">
        <f t="shared" si="7"/>
        <v>469</v>
      </c>
      <c r="B470" s="84" t="s">
        <v>1224</v>
      </c>
      <c r="C470" s="83" t="s">
        <v>322</v>
      </c>
      <c r="D470" s="83" t="s">
        <v>897</v>
      </c>
      <c r="E470" s="83" t="s">
        <v>898</v>
      </c>
      <c r="F470" s="83" t="s">
        <v>899</v>
      </c>
      <c r="G470" s="83">
        <v>120</v>
      </c>
      <c r="H470" s="83" t="s">
        <v>753</v>
      </c>
      <c r="I470" s="85">
        <v>600</v>
      </c>
      <c r="J470" s="86">
        <v>37963</v>
      </c>
      <c r="K470" s="83"/>
    </row>
    <row r="471" ht="26.25" customHeight="1" spans="1:13">
      <c r="A471" s="82">
        <f t="shared" si="7"/>
        <v>470</v>
      </c>
      <c r="B471" s="84" t="s">
        <v>1225</v>
      </c>
      <c r="C471" s="83" t="s">
        <v>322</v>
      </c>
      <c r="D471" s="83" t="s">
        <v>897</v>
      </c>
      <c r="E471" s="83" t="s">
        <v>898</v>
      </c>
      <c r="F471" s="83" t="s">
        <v>899</v>
      </c>
      <c r="G471" s="83">
        <v>120</v>
      </c>
      <c r="H471" s="83" t="s">
        <v>753</v>
      </c>
      <c r="I471" s="85">
        <v>1000</v>
      </c>
      <c r="J471" s="86">
        <v>37963</v>
      </c>
      <c r="K471" s="83"/>
    </row>
    <row r="472" ht="26.25" customHeight="1" spans="1:13">
      <c r="A472" s="82">
        <f t="shared" si="7"/>
        <v>471</v>
      </c>
      <c r="B472" s="84" t="s">
        <v>1226</v>
      </c>
      <c r="C472" s="83" t="s">
        <v>322</v>
      </c>
      <c r="D472" s="83" t="s">
        <v>897</v>
      </c>
      <c r="E472" s="83" t="s">
        <v>898</v>
      </c>
      <c r="F472" s="83" t="s">
        <v>899</v>
      </c>
      <c r="G472" s="83">
        <v>120</v>
      </c>
      <c r="H472" s="83" t="s">
        <v>753</v>
      </c>
      <c r="I472" s="85">
        <v>304</v>
      </c>
      <c r="J472" s="86">
        <v>37963</v>
      </c>
      <c r="K472" s="83"/>
    </row>
    <row r="473" ht="26.25" customHeight="1" spans="1:13">
      <c r="A473" s="82">
        <f t="shared" si="7"/>
        <v>472</v>
      </c>
      <c r="B473" s="84" t="s">
        <v>1227</v>
      </c>
      <c r="C473" s="83" t="s">
        <v>322</v>
      </c>
      <c r="D473" s="83" t="s">
        <v>897</v>
      </c>
      <c r="E473" s="83" t="s">
        <v>898</v>
      </c>
      <c r="F473" s="83" t="s">
        <v>899</v>
      </c>
      <c r="G473" s="83">
        <v>120</v>
      </c>
      <c r="H473" s="83" t="s">
        <v>753</v>
      </c>
      <c r="I473" s="85">
        <v>688</v>
      </c>
      <c r="J473" s="86">
        <v>37963</v>
      </c>
      <c r="K473" s="83"/>
    </row>
    <row r="474" ht="26.25" customHeight="1" spans="1:13">
      <c r="A474" s="82">
        <f t="shared" si="7"/>
        <v>473</v>
      </c>
      <c r="B474" s="84" t="s">
        <v>1228</v>
      </c>
      <c r="C474" s="83" t="s">
        <v>322</v>
      </c>
      <c r="D474" s="83" t="s">
        <v>897</v>
      </c>
      <c r="E474" s="83" t="s">
        <v>898</v>
      </c>
      <c r="F474" s="83" t="s">
        <v>899</v>
      </c>
      <c r="G474" s="83">
        <v>120</v>
      </c>
      <c r="H474" s="83" t="s">
        <v>753</v>
      </c>
      <c r="I474" s="85">
        <v>1000</v>
      </c>
      <c r="J474" s="86">
        <v>37963</v>
      </c>
      <c r="K474" s="83"/>
    </row>
    <row r="475" ht="26.25" customHeight="1" spans="1:13">
      <c r="A475" s="82">
        <f t="shared" si="7"/>
        <v>474</v>
      </c>
      <c r="B475" s="84" t="s">
        <v>1229</v>
      </c>
      <c r="C475" s="83" t="s">
        <v>322</v>
      </c>
      <c r="D475" s="83" t="s">
        <v>897</v>
      </c>
      <c r="E475" s="83" t="s">
        <v>898</v>
      </c>
      <c r="F475" s="83" t="s">
        <v>899</v>
      </c>
      <c r="G475" s="83">
        <v>120</v>
      </c>
      <c r="H475" s="83" t="s">
        <v>753</v>
      </c>
      <c r="I475" s="85">
        <v>1000</v>
      </c>
      <c r="J475" s="86">
        <v>37963</v>
      </c>
      <c r="K475" s="83"/>
    </row>
    <row r="476" ht="26.25" customHeight="1" spans="1:13">
      <c r="A476" s="82">
        <f t="shared" si="7"/>
        <v>475</v>
      </c>
      <c r="B476" s="84" t="s">
        <v>1230</v>
      </c>
      <c r="C476" s="83" t="s">
        <v>322</v>
      </c>
      <c r="D476" s="83" t="s">
        <v>897</v>
      </c>
      <c r="E476" s="83" t="s">
        <v>898</v>
      </c>
      <c r="F476" s="83" t="s">
        <v>899</v>
      </c>
      <c r="G476" s="83">
        <v>120</v>
      </c>
      <c r="H476" s="83" t="s">
        <v>753</v>
      </c>
      <c r="I476" s="85">
        <v>40</v>
      </c>
      <c r="J476" s="86">
        <v>37963</v>
      </c>
      <c r="K476" s="83"/>
    </row>
    <row r="477" ht="26.25" customHeight="1" spans="1:13">
      <c r="A477" s="82">
        <f t="shared" si="7"/>
        <v>476</v>
      </c>
      <c r="B477" s="84" t="s">
        <v>991</v>
      </c>
      <c r="C477" s="83" t="s">
        <v>322</v>
      </c>
      <c r="D477" s="83" t="s">
        <v>897</v>
      </c>
      <c r="E477" s="83" t="s">
        <v>898</v>
      </c>
      <c r="F477" s="83" t="s">
        <v>899</v>
      </c>
      <c r="G477" s="83">
        <v>120</v>
      </c>
      <c r="H477" s="83" t="s">
        <v>753</v>
      </c>
      <c r="I477" s="85">
        <v>1000</v>
      </c>
      <c r="J477" s="86">
        <v>37963</v>
      </c>
      <c r="K477" s="83"/>
    </row>
    <row r="478" ht="26.25" customHeight="1" spans="1:13">
      <c r="A478" s="82">
        <f t="shared" si="7"/>
        <v>477</v>
      </c>
      <c r="B478" s="84" t="s">
        <v>992</v>
      </c>
      <c r="C478" s="83" t="s">
        <v>322</v>
      </c>
      <c r="D478" s="83" t="s">
        <v>897</v>
      </c>
      <c r="E478" s="83" t="s">
        <v>898</v>
      </c>
      <c r="F478" s="83" t="s">
        <v>899</v>
      </c>
      <c r="G478" s="83">
        <v>120</v>
      </c>
      <c r="H478" s="83" t="s">
        <v>753</v>
      </c>
      <c r="I478" s="85">
        <v>204</v>
      </c>
      <c r="J478" s="86">
        <v>37963</v>
      </c>
      <c r="K478" s="83"/>
      <c r="M478" s="36"/>
    </row>
    <row r="479" ht="26.25" customHeight="1" spans="1:13">
      <c r="A479" s="82">
        <f t="shared" si="7"/>
        <v>478</v>
      </c>
      <c r="B479" s="84" t="s">
        <v>993</v>
      </c>
      <c r="C479" s="83" t="s">
        <v>322</v>
      </c>
      <c r="D479" s="83" t="s">
        <v>897</v>
      </c>
      <c r="E479" s="83" t="s">
        <v>898</v>
      </c>
      <c r="F479" s="83" t="s">
        <v>899</v>
      </c>
      <c r="G479" s="83">
        <v>120</v>
      </c>
      <c r="H479" s="83" t="s">
        <v>753</v>
      </c>
      <c r="I479" s="85">
        <v>176</v>
      </c>
      <c r="J479" s="86">
        <v>37963</v>
      </c>
      <c r="K479" s="83"/>
    </row>
    <row r="480" s="17" customFormat="1" ht="26.25" customHeight="1" spans="1:13">
      <c r="A480" s="82">
        <f t="shared" si="7"/>
        <v>479</v>
      </c>
      <c r="B480" s="84" t="s">
        <v>1231</v>
      </c>
      <c r="C480" s="83" t="s">
        <v>13</v>
      </c>
      <c r="D480" s="83" t="s">
        <v>750</v>
      </c>
      <c r="E480" s="83" t="s">
        <v>751</v>
      </c>
      <c r="F480" s="83" t="s">
        <v>752</v>
      </c>
      <c r="G480" s="83">
        <v>120</v>
      </c>
      <c r="H480" s="83" t="s">
        <v>1232</v>
      </c>
      <c r="I480" s="95">
        <v>150</v>
      </c>
      <c r="J480" s="86">
        <v>42051</v>
      </c>
      <c r="K480" s="96"/>
    </row>
    <row r="481" ht="26.25" customHeight="1" spans="1:11">
      <c r="A481" s="82">
        <f t="shared" si="7"/>
        <v>480</v>
      </c>
      <c r="B481" s="84" t="s">
        <v>1233</v>
      </c>
      <c r="C481" s="83" t="s">
        <v>13</v>
      </c>
      <c r="D481" s="83" t="s">
        <v>750</v>
      </c>
      <c r="E481" s="83" t="s">
        <v>751</v>
      </c>
      <c r="F481" s="83" t="s">
        <v>752</v>
      </c>
      <c r="G481" s="83">
        <v>120</v>
      </c>
      <c r="H481" s="83" t="s">
        <v>1232</v>
      </c>
      <c r="I481" s="95">
        <v>75</v>
      </c>
      <c r="J481" s="86">
        <v>42051</v>
      </c>
      <c r="K481" s="96"/>
    </row>
    <row r="482" ht="26.25" customHeight="1" spans="1:11">
      <c r="A482" s="82">
        <f t="shared" si="7"/>
        <v>481</v>
      </c>
      <c r="B482" s="84" t="s">
        <v>1234</v>
      </c>
      <c r="C482" s="83" t="s">
        <v>13</v>
      </c>
      <c r="D482" s="83" t="s">
        <v>750</v>
      </c>
      <c r="E482" s="83" t="s">
        <v>751</v>
      </c>
      <c r="F482" s="83" t="s">
        <v>752</v>
      </c>
      <c r="G482" s="83">
        <v>120</v>
      </c>
      <c r="H482" s="83" t="s">
        <v>1232</v>
      </c>
      <c r="I482" s="95">
        <v>120</v>
      </c>
      <c r="J482" s="86">
        <v>42051</v>
      </c>
      <c r="K482" s="96"/>
    </row>
    <row r="483" ht="26.25" customHeight="1" spans="1:11">
      <c r="A483" s="82">
        <f t="shared" si="7"/>
        <v>482</v>
      </c>
      <c r="B483" s="84" t="s">
        <v>1235</v>
      </c>
      <c r="C483" s="83" t="s">
        <v>13</v>
      </c>
      <c r="D483" s="83" t="s">
        <v>750</v>
      </c>
      <c r="E483" s="83" t="s">
        <v>751</v>
      </c>
      <c r="F483" s="83" t="s">
        <v>752</v>
      </c>
      <c r="G483" s="83">
        <v>120</v>
      </c>
      <c r="H483" s="83" t="s">
        <v>1232</v>
      </c>
      <c r="I483" s="95">
        <v>75</v>
      </c>
      <c r="J483" s="86">
        <v>42051</v>
      </c>
      <c r="K483" s="96"/>
    </row>
    <row r="484" ht="26.25" customHeight="1" spans="1:11">
      <c r="A484" s="82">
        <f t="shared" si="7"/>
        <v>483</v>
      </c>
      <c r="B484" s="84" t="s">
        <v>1236</v>
      </c>
      <c r="C484" s="83" t="s">
        <v>13</v>
      </c>
      <c r="D484" s="83" t="s">
        <v>750</v>
      </c>
      <c r="E484" s="83" t="s">
        <v>751</v>
      </c>
      <c r="F484" s="83" t="s">
        <v>752</v>
      </c>
      <c r="G484" s="83">
        <v>120</v>
      </c>
      <c r="H484" s="83" t="s">
        <v>1232</v>
      </c>
      <c r="I484" s="95">
        <f>43*15</f>
        <v>645</v>
      </c>
      <c r="J484" s="86">
        <v>42051</v>
      </c>
      <c r="K484" s="96"/>
    </row>
    <row r="485" ht="26.25" customHeight="1" spans="1:11">
      <c r="A485" s="82">
        <f t="shared" si="7"/>
        <v>484</v>
      </c>
      <c r="B485" s="84" t="s">
        <v>1237</v>
      </c>
      <c r="C485" s="83" t="s">
        <v>13</v>
      </c>
      <c r="D485" s="83" t="s">
        <v>750</v>
      </c>
      <c r="E485" s="83" t="s">
        <v>751</v>
      </c>
      <c r="F485" s="83" t="s">
        <v>752</v>
      </c>
      <c r="G485" s="83">
        <v>120</v>
      </c>
      <c r="H485" s="83" t="s">
        <v>1232</v>
      </c>
      <c r="I485" s="95">
        <v>570</v>
      </c>
      <c r="J485" s="86">
        <v>42051</v>
      </c>
      <c r="K485" s="96"/>
    </row>
    <row r="486" ht="26.25" customHeight="1" spans="1:11">
      <c r="A486" s="82">
        <f t="shared" si="7"/>
        <v>485</v>
      </c>
      <c r="B486" s="84" t="s">
        <v>1238</v>
      </c>
      <c r="C486" s="83" t="s">
        <v>13</v>
      </c>
      <c r="D486" s="83" t="s">
        <v>750</v>
      </c>
      <c r="E486" s="83" t="s">
        <v>751</v>
      </c>
      <c r="F486" s="83" t="s">
        <v>752</v>
      </c>
      <c r="G486" s="83">
        <v>120</v>
      </c>
      <c r="H486" s="83" t="s">
        <v>1232</v>
      </c>
      <c r="I486" s="95">
        <f>9*15</f>
        <v>135</v>
      </c>
      <c r="J486" s="86">
        <v>42051</v>
      </c>
      <c r="K486" s="96"/>
    </row>
    <row r="487" ht="26.25" customHeight="1" spans="1:11">
      <c r="A487" s="82">
        <f t="shared" si="7"/>
        <v>486</v>
      </c>
      <c r="B487" s="97" t="s">
        <v>1239</v>
      </c>
      <c r="C487" s="83" t="s">
        <v>13</v>
      </c>
      <c r="D487" s="83" t="s">
        <v>750</v>
      </c>
      <c r="E487" s="83" t="s">
        <v>751</v>
      </c>
      <c r="F487" s="83" t="s">
        <v>752</v>
      </c>
      <c r="G487" s="83">
        <v>120</v>
      </c>
      <c r="H487" s="83" t="s">
        <v>1232</v>
      </c>
      <c r="I487" s="95">
        <f>35*15</f>
        <v>525</v>
      </c>
      <c r="J487" s="86">
        <v>42051</v>
      </c>
      <c r="K487" s="96"/>
    </row>
    <row r="488" ht="26.25" customHeight="1" spans="1:11">
      <c r="A488" s="82">
        <f t="shared" si="7"/>
        <v>487</v>
      </c>
      <c r="B488" s="83" t="s">
        <v>1240</v>
      </c>
      <c r="C488" s="83" t="s">
        <v>13</v>
      </c>
      <c r="D488" s="83" t="s">
        <v>750</v>
      </c>
      <c r="E488" s="83" t="s">
        <v>751</v>
      </c>
      <c r="F488" s="83" t="s">
        <v>752</v>
      </c>
      <c r="G488" s="83">
        <v>120</v>
      </c>
      <c r="H488" s="83" t="s">
        <v>1232</v>
      </c>
      <c r="I488" s="83">
        <f>12*15</f>
        <v>180</v>
      </c>
      <c r="J488" s="86">
        <v>42051</v>
      </c>
      <c r="K488" s="83"/>
    </row>
    <row r="489" ht="26.25" customHeight="1" spans="1:11">
      <c r="A489" s="82">
        <f t="shared" si="7"/>
        <v>488</v>
      </c>
      <c r="B489" s="83" t="s">
        <v>1241</v>
      </c>
      <c r="C489" s="83" t="s">
        <v>13</v>
      </c>
      <c r="D489" s="83" t="s">
        <v>750</v>
      </c>
      <c r="E489" s="83" t="s">
        <v>751</v>
      </c>
      <c r="F489" s="83" t="s">
        <v>752</v>
      </c>
      <c r="G489" s="83">
        <v>120</v>
      </c>
      <c r="H489" s="83" t="s">
        <v>1232</v>
      </c>
      <c r="I489" s="83">
        <v>400</v>
      </c>
      <c r="J489" s="86">
        <v>42051</v>
      </c>
      <c r="K489" s="83"/>
    </row>
    <row r="490" ht="26.25" customHeight="1" spans="1:11">
      <c r="A490" s="82">
        <f t="shared" si="7"/>
        <v>489</v>
      </c>
      <c r="B490" s="83" t="s">
        <v>1242</v>
      </c>
      <c r="C490" s="83" t="s">
        <v>13</v>
      </c>
      <c r="D490" s="83" t="s">
        <v>750</v>
      </c>
      <c r="E490" s="83" t="s">
        <v>751</v>
      </c>
      <c r="F490" s="83" t="s">
        <v>752</v>
      </c>
      <c r="G490" s="83">
        <v>120</v>
      </c>
      <c r="H490" s="83" t="s">
        <v>1232</v>
      </c>
      <c r="I490" s="83">
        <v>150</v>
      </c>
      <c r="J490" s="86">
        <v>42051</v>
      </c>
      <c r="K490" s="83"/>
    </row>
    <row r="491" ht="26.25" customHeight="1" spans="1:11">
      <c r="A491" s="82">
        <f t="shared" si="7"/>
        <v>490</v>
      </c>
      <c r="B491" s="83" t="s">
        <v>1243</v>
      </c>
      <c r="C491" s="83" t="s">
        <v>13</v>
      </c>
      <c r="D491" s="83" t="s">
        <v>750</v>
      </c>
      <c r="E491" s="83" t="s">
        <v>751</v>
      </c>
      <c r="F491" s="83" t="s">
        <v>752</v>
      </c>
      <c r="G491" s="83">
        <v>120</v>
      </c>
      <c r="H491" s="83" t="s">
        <v>1232</v>
      </c>
      <c r="I491" s="83">
        <v>150</v>
      </c>
      <c r="J491" s="86">
        <v>42051</v>
      </c>
      <c r="K491" s="83"/>
    </row>
    <row r="492" ht="26.25" customHeight="1" spans="1:11">
      <c r="A492" s="82">
        <f t="shared" si="7"/>
        <v>491</v>
      </c>
      <c r="B492" s="83" t="s">
        <v>1244</v>
      </c>
      <c r="C492" s="83" t="s">
        <v>13</v>
      </c>
      <c r="D492" s="83" t="s">
        <v>750</v>
      </c>
      <c r="E492" s="83" t="s">
        <v>751</v>
      </c>
      <c r="F492" s="83" t="s">
        <v>752</v>
      </c>
      <c r="G492" s="83">
        <v>120</v>
      </c>
      <c r="H492" s="83" t="s">
        <v>1232</v>
      </c>
      <c r="I492" s="83">
        <v>930</v>
      </c>
      <c r="J492" s="86">
        <v>42051</v>
      </c>
      <c r="K492" s="83"/>
    </row>
    <row r="493" ht="26.25" customHeight="1" spans="1:11">
      <c r="A493" s="82">
        <f t="shared" si="7"/>
        <v>492</v>
      </c>
      <c r="B493" s="83" t="s">
        <v>1245</v>
      </c>
      <c r="C493" s="83" t="s">
        <v>13</v>
      </c>
      <c r="D493" s="83" t="s">
        <v>750</v>
      </c>
      <c r="E493" s="83" t="s">
        <v>751</v>
      </c>
      <c r="F493" s="83" t="s">
        <v>752</v>
      </c>
      <c r="G493" s="83">
        <v>120</v>
      </c>
      <c r="H493" s="83" t="s">
        <v>1232</v>
      </c>
      <c r="I493" s="83">
        <v>240</v>
      </c>
      <c r="J493" s="86">
        <v>42051</v>
      </c>
      <c r="K493" s="83"/>
    </row>
    <row r="494" ht="26.25" customHeight="1" spans="1:11">
      <c r="A494" s="82">
        <f t="shared" si="7"/>
        <v>493</v>
      </c>
      <c r="B494" s="83" t="s">
        <v>1246</v>
      </c>
      <c r="C494" s="83" t="s">
        <v>13</v>
      </c>
      <c r="D494" s="83" t="s">
        <v>750</v>
      </c>
      <c r="E494" s="83" t="s">
        <v>751</v>
      </c>
      <c r="F494" s="83" t="s">
        <v>752</v>
      </c>
      <c r="G494" s="83">
        <v>120</v>
      </c>
      <c r="H494" s="83" t="s">
        <v>1232</v>
      </c>
      <c r="I494" s="83">
        <v>105</v>
      </c>
      <c r="J494" s="86">
        <v>42051</v>
      </c>
      <c r="K494" s="83"/>
    </row>
    <row r="495" ht="26.25" customHeight="1" spans="1:11">
      <c r="A495" s="82">
        <f t="shared" si="7"/>
        <v>494</v>
      </c>
      <c r="B495" s="83" t="s">
        <v>1247</v>
      </c>
      <c r="C495" s="83" t="s">
        <v>13</v>
      </c>
      <c r="D495" s="83" t="s">
        <v>750</v>
      </c>
      <c r="E495" s="83" t="s">
        <v>751</v>
      </c>
      <c r="F495" s="83" t="s">
        <v>752</v>
      </c>
      <c r="G495" s="83">
        <v>120</v>
      </c>
      <c r="H495" s="83" t="s">
        <v>1232</v>
      </c>
      <c r="I495" s="83">
        <v>240</v>
      </c>
      <c r="J495" s="86">
        <v>42051</v>
      </c>
      <c r="K495" s="83"/>
    </row>
    <row r="496" ht="26.25" customHeight="1" spans="1:11">
      <c r="A496" s="82">
        <f t="shared" si="7"/>
        <v>495</v>
      </c>
      <c r="B496" s="83" t="s">
        <v>1248</v>
      </c>
      <c r="C496" s="83" t="s">
        <v>13</v>
      </c>
      <c r="D496" s="83" t="s">
        <v>750</v>
      </c>
      <c r="E496" s="83" t="s">
        <v>751</v>
      </c>
      <c r="F496" s="83" t="s">
        <v>752</v>
      </c>
      <c r="G496" s="83">
        <v>120</v>
      </c>
      <c r="H496" s="83" t="s">
        <v>1232</v>
      </c>
      <c r="I496" s="83">
        <v>430</v>
      </c>
      <c r="J496" s="86">
        <v>42051</v>
      </c>
      <c r="K496" s="83"/>
    </row>
    <row r="497" ht="26.25" customHeight="1" spans="1:17">
      <c r="A497" s="82">
        <f t="shared" si="7"/>
        <v>496</v>
      </c>
      <c r="B497" s="98" t="s">
        <v>1249</v>
      </c>
      <c r="C497" s="83" t="s">
        <v>13</v>
      </c>
      <c r="D497" s="83" t="s">
        <v>750</v>
      </c>
      <c r="E497" s="83" t="s">
        <v>751</v>
      </c>
      <c r="F497" s="83" t="s">
        <v>752</v>
      </c>
      <c r="G497" s="83">
        <v>120</v>
      </c>
      <c r="H497" s="83" t="s">
        <v>1232</v>
      </c>
      <c r="I497" s="83">
        <v>375</v>
      </c>
      <c r="J497" s="86">
        <v>42051</v>
      </c>
      <c r="K497" s="83"/>
    </row>
    <row r="498" ht="26.25" customHeight="1" spans="1:17">
      <c r="A498" s="82">
        <f t="shared" si="7"/>
        <v>497</v>
      </c>
      <c r="B498" s="98" t="s">
        <v>1250</v>
      </c>
      <c r="C498" s="83" t="s">
        <v>13</v>
      </c>
      <c r="D498" s="83" t="s">
        <v>750</v>
      </c>
      <c r="E498" s="83" t="s">
        <v>751</v>
      </c>
      <c r="F498" s="83" t="s">
        <v>752</v>
      </c>
      <c r="G498" s="83">
        <v>120</v>
      </c>
      <c r="H498" s="83" t="s">
        <v>1232</v>
      </c>
      <c r="I498" s="98">
        <v>120</v>
      </c>
      <c r="J498" s="86">
        <v>42051</v>
      </c>
      <c r="K498" s="99"/>
    </row>
    <row r="499" ht="26.25" customHeight="1" spans="1:17">
      <c r="A499" s="82">
        <f t="shared" si="7"/>
        <v>498</v>
      </c>
      <c r="B499" s="83" t="s">
        <v>1251</v>
      </c>
      <c r="C499" s="83" t="s">
        <v>13</v>
      </c>
      <c r="D499" s="83" t="s">
        <v>750</v>
      </c>
      <c r="E499" s="83" t="s">
        <v>751</v>
      </c>
      <c r="F499" s="83" t="s">
        <v>752</v>
      </c>
      <c r="G499" s="83">
        <v>120</v>
      </c>
      <c r="H499" s="83" t="s">
        <v>1232</v>
      </c>
      <c r="I499" s="83">
        <v>270</v>
      </c>
      <c r="J499" s="86">
        <v>42051</v>
      </c>
      <c r="K499" s="100"/>
    </row>
    <row r="500" ht="26.25" customHeight="1" spans="1:17">
      <c r="A500" s="82">
        <f t="shared" si="7"/>
        <v>499</v>
      </c>
      <c r="B500" s="84" t="s">
        <v>1252</v>
      </c>
      <c r="C500" s="83" t="s">
        <v>13</v>
      </c>
      <c r="D500" s="83" t="s">
        <v>750</v>
      </c>
      <c r="E500" s="83" t="s">
        <v>751</v>
      </c>
      <c r="F500" s="83" t="s">
        <v>752</v>
      </c>
      <c r="G500" s="83">
        <v>120</v>
      </c>
      <c r="H500" s="83" t="s">
        <v>1232</v>
      </c>
      <c r="I500" s="84">
        <v>2015</v>
      </c>
      <c r="J500" s="86">
        <v>42051</v>
      </c>
      <c r="K500" s="96"/>
    </row>
    <row r="501" ht="26.25" customHeight="1" spans="1:17">
      <c r="A501" s="82">
        <f t="shared" si="7"/>
        <v>500</v>
      </c>
      <c r="B501" s="84" t="s">
        <v>1253</v>
      </c>
      <c r="C501" s="83" t="s">
        <v>13</v>
      </c>
      <c r="D501" s="83" t="s">
        <v>750</v>
      </c>
      <c r="E501" s="83" t="s">
        <v>751</v>
      </c>
      <c r="F501" s="83" t="s">
        <v>752</v>
      </c>
      <c r="G501" s="83">
        <v>120</v>
      </c>
      <c r="H501" s="83" t="s">
        <v>1232</v>
      </c>
      <c r="I501" s="84">
        <v>1080</v>
      </c>
      <c r="J501" s="86">
        <v>42051</v>
      </c>
      <c r="K501" s="96"/>
    </row>
    <row r="502" ht="26.25" customHeight="1" spans="1:17">
      <c r="A502" s="82">
        <f t="shared" si="7"/>
        <v>501</v>
      </c>
      <c r="B502" s="84" t="s">
        <v>1254</v>
      </c>
      <c r="C502" s="83" t="s">
        <v>13</v>
      </c>
      <c r="D502" s="83" t="s">
        <v>750</v>
      </c>
      <c r="E502" s="83" t="s">
        <v>751</v>
      </c>
      <c r="F502" s="83" t="s">
        <v>752</v>
      </c>
      <c r="G502" s="83">
        <v>120</v>
      </c>
      <c r="H502" s="83" t="s">
        <v>1232</v>
      </c>
      <c r="I502" s="84">
        <v>465</v>
      </c>
      <c r="J502" s="86">
        <v>42051</v>
      </c>
      <c r="K502" s="96"/>
    </row>
    <row r="503" ht="26.25" customHeight="1" spans="1:17">
      <c r="A503" s="82">
        <f t="shared" si="7"/>
        <v>502</v>
      </c>
      <c r="B503" s="101" t="s">
        <v>1255</v>
      </c>
      <c r="C503" s="102" t="s">
        <v>13</v>
      </c>
      <c r="D503" s="102" t="s">
        <v>750</v>
      </c>
      <c r="E503" s="102" t="s">
        <v>751</v>
      </c>
      <c r="F503" s="102" t="s">
        <v>752</v>
      </c>
      <c r="G503" s="102">
        <v>120</v>
      </c>
      <c r="H503" s="102" t="s">
        <v>1232</v>
      </c>
      <c r="I503" s="101">
        <v>405</v>
      </c>
      <c r="J503" s="103">
        <v>42051</v>
      </c>
      <c r="K503" s="96"/>
    </row>
    <row r="504" s="17" customFormat="1" ht="26.25" customHeight="1" spans="1:17">
      <c r="A504" s="82">
        <f t="shared" si="7"/>
        <v>503</v>
      </c>
      <c r="B504" s="84" t="s">
        <v>1256</v>
      </c>
      <c r="C504" s="83" t="s">
        <v>13</v>
      </c>
      <c r="D504" s="83" t="s">
        <v>897</v>
      </c>
      <c r="E504" s="83" t="s">
        <v>898</v>
      </c>
      <c r="F504" s="83" t="s">
        <v>899</v>
      </c>
      <c r="G504" s="83">
        <v>120</v>
      </c>
      <c r="H504" s="83" t="s">
        <v>1232</v>
      </c>
      <c r="I504" s="85">
        <v>90</v>
      </c>
      <c r="J504" s="86">
        <v>42051</v>
      </c>
      <c r="K504" s="83"/>
    </row>
    <row r="505" s="17" customFormat="1" ht="26.25" customHeight="1" spans="1:17">
      <c r="A505" s="82">
        <f t="shared" si="7"/>
        <v>504</v>
      </c>
      <c r="B505" s="92" t="s">
        <v>1257</v>
      </c>
      <c r="C505" s="83" t="s">
        <v>13</v>
      </c>
      <c r="D505" s="83" t="s">
        <v>897</v>
      </c>
      <c r="E505" s="83" t="s">
        <v>898</v>
      </c>
      <c r="F505" s="83" t="s">
        <v>899</v>
      </c>
      <c r="G505" s="83">
        <v>120</v>
      </c>
      <c r="H505" s="83" t="s">
        <v>1232</v>
      </c>
      <c r="I505" s="85">
        <v>120</v>
      </c>
      <c r="J505" s="86">
        <v>42051</v>
      </c>
      <c r="K505" s="83"/>
    </row>
    <row r="506" s="17" customFormat="1" ht="26.25" customHeight="1" spans="1:17">
      <c r="A506" s="82">
        <f t="shared" si="7"/>
        <v>505</v>
      </c>
      <c r="B506" s="92" t="s">
        <v>1258</v>
      </c>
      <c r="C506" s="83" t="s">
        <v>13</v>
      </c>
      <c r="D506" s="83" t="s">
        <v>897</v>
      </c>
      <c r="E506" s="83" t="s">
        <v>898</v>
      </c>
      <c r="F506" s="83" t="s">
        <v>899</v>
      </c>
      <c r="G506" s="83">
        <v>120</v>
      </c>
      <c r="H506" s="83" t="s">
        <v>1232</v>
      </c>
      <c r="I506" s="85">
        <v>105</v>
      </c>
      <c r="J506" s="86">
        <v>42051</v>
      </c>
      <c r="K506" s="83"/>
    </row>
    <row r="507" s="17" customFormat="1" ht="26.25" customHeight="1" spans="1:17">
      <c r="A507" s="82">
        <f t="shared" si="7"/>
        <v>506</v>
      </c>
      <c r="B507" s="92" t="s">
        <v>1259</v>
      </c>
      <c r="C507" s="83" t="s">
        <v>13</v>
      </c>
      <c r="D507" s="83" t="s">
        <v>897</v>
      </c>
      <c r="E507" s="83" t="s">
        <v>898</v>
      </c>
      <c r="F507" s="83" t="s">
        <v>899</v>
      </c>
      <c r="G507" s="83">
        <v>120</v>
      </c>
      <c r="H507" s="83" t="s">
        <v>1232</v>
      </c>
      <c r="I507" s="85">
        <f>12*15</f>
        <v>180</v>
      </c>
      <c r="J507" s="86">
        <v>42051</v>
      </c>
      <c r="K507" s="83"/>
      <c r="M507" s="104"/>
      <c r="N507" s="104"/>
      <c r="O507" s="104"/>
      <c r="P507" s="104"/>
      <c r="Q507" s="104"/>
    </row>
    <row r="508" s="17" customFormat="1" ht="26.25" customHeight="1" spans="1:17">
      <c r="A508" s="82">
        <f t="shared" si="7"/>
        <v>507</v>
      </c>
      <c r="B508" s="92" t="s">
        <v>1260</v>
      </c>
      <c r="C508" s="83" t="s">
        <v>13</v>
      </c>
      <c r="D508" s="83" t="s">
        <v>897</v>
      </c>
      <c r="E508" s="83" t="s">
        <v>898</v>
      </c>
      <c r="F508" s="83" t="s">
        <v>899</v>
      </c>
      <c r="G508" s="83">
        <v>120</v>
      </c>
      <c r="H508" s="83" t="s">
        <v>1232</v>
      </c>
      <c r="I508" s="85">
        <f>29*15</f>
        <v>435</v>
      </c>
      <c r="J508" s="86">
        <v>42051</v>
      </c>
      <c r="K508" s="83"/>
      <c r="M508" s="104"/>
      <c r="N508" s="104"/>
      <c r="O508" s="105"/>
      <c r="P508" s="104"/>
      <c r="Q508" s="104"/>
    </row>
    <row r="509" s="17" customFormat="1" ht="26.25" customHeight="1" spans="1:17">
      <c r="A509" s="82">
        <f t="shared" si="7"/>
        <v>508</v>
      </c>
      <c r="B509" s="92" t="s">
        <v>1261</v>
      </c>
      <c r="C509" s="83" t="s">
        <v>13</v>
      </c>
      <c r="D509" s="83" t="s">
        <v>897</v>
      </c>
      <c r="E509" s="83" t="s">
        <v>898</v>
      </c>
      <c r="F509" s="83" t="s">
        <v>899</v>
      </c>
      <c r="G509" s="83">
        <v>120</v>
      </c>
      <c r="H509" s="83" t="s">
        <v>1232</v>
      </c>
      <c r="I509" s="85">
        <f>82*15</f>
        <v>1230</v>
      </c>
      <c r="J509" s="86">
        <v>42051</v>
      </c>
      <c r="K509" s="83"/>
      <c r="M509" s="104"/>
      <c r="N509" s="104"/>
      <c r="O509" s="105"/>
      <c r="P509" s="104"/>
      <c r="Q509" s="104"/>
    </row>
    <row r="510" s="17" customFormat="1" ht="26.25" customHeight="1" spans="1:17">
      <c r="A510" s="82">
        <f t="shared" si="7"/>
        <v>509</v>
      </c>
      <c r="B510" s="92" t="s">
        <v>1262</v>
      </c>
      <c r="C510" s="83" t="s">
        <v>13</v>
      </c>
      <c r="D510" s="83" t="s">
        <v>897</v>
      </c>
      <c r="E510" s="83" t="s">
        <v>898</v>
      </c>
      <c r="F510" s="83" t="s">
        <v>899</v>
      </c>
      <c r="G510" s="83">
        <v>120</v>
      </c>
      <c r="H510" s="83" t="s">
        <v>1232</v>
      </c>
      <c r="I510" s="85">
        <v>2385</v>
      </c>
      <c r="J510" s="86">
        <v>42051</v>
      </c>
      <c r="K510" s="83"/>
      <c r="M510" s="104"/>
      <c r="N510" s="104"/>
      <c r="O510" s="104"/>
      <c r="P510" s="104"/>
      <c r="Q510" s="104"/>
    </row>
    <row r="511" s="17" customFormat="1" ht="26.25" customHeight="1" spans="1:17">
      <c r="A511" s="82">
        <f t="shared" si="7"/>
        <v>510</v>
      </c>
      <c r="B511" s="92" t="s">
        <v>1263</v>
      </c>
      <c r="C511" s="83" t="s">
        <v>13</v>
      </c>
      <c r="D511" s="83" t="s">
        <v>897</v>
      </c>
      <c r="E511" s="83" t="s">
        <v>898</v>
      </c>
      <c r="F511" s="83" t="s">
        <v>899</v>
      </c>
      <c r="G511" s="83">
        <v>120</v>
      </c>
      <c r="H511" s="83" t="s">
        <v>1232</v>
      </c>
      <c r="I511" s="85">
        <v>2460</v>
      </c>
      <c r="J511" s="86">
        <v>42051</v>
      </c>
      <c r="K511" s="83"/>
      <c r="M511" s="104"/>
      <c r="N511" s="104"/>
      <c r="O511" s="104"/>
      <c r="P511" s="104"/>
      <c r="Q511" s="104"/>
    </row>
    <row r="512" s="17" customFormat="1" ht="26.25" customHeight="1" spans="1:17">
      <c r="A512" s="82">
        <f t="shared" si="7"/>
        <v>511</v>
      </c>
      <c r="B512" s="92" t="s">
        <v>1264</v>
      </c>
      <c r="C512" s="83" t="s">
        <v>13</v>
      </c>
      <c r="D512" s="83" t="s">
        <v>897</v>
      </c>
      <c r="E512" s="83" t="s">
        <v>898</v>
      </c>
      <c r="F512" s="83" t="s">
        <v>899</v>
      </c>
      <c r="G512" s="83">
        <v>120</v>
      </c>
      <c r="H512" s="83" t="s">
        <v>1232</v>
      </c>
      <c r="I512" s="85">
        <v>3655</v>
      </c>
      <c r="J512" s="86">
        <v>42051</v>
      </c>
      <c r="K512" s="83"/>
      <c r="M512" s="104"/>
      <c r="N512" s="104"/>
      <c r="O512" s="104"/>
      <c r="P512" s="104"/>
      <c r="Q512" s="104"/>
    </row>
    <row r="513" s="17" customFormat="1" ht="26.25" customHeight="1" spans="1:17">
      <c r="A513" s="82">
        <f t="shared" si="7"/>
        <v>512</v>
      </c>
      <c r="B513" s="92" t="s">
        <v>1265</v>
      </c>
      <c r="C513" s="83" t="s">
        <v>13</v>
      </c>
      <c r="D513" s="83" t="s">
        <v>897</v>
      </c>
      <c r="E513" s="83" t="s">
        <v>898</v>
      </c>
      <c r="F513" s="83" t="s">
        <v>899</v>
      </c>
      <c r="G513" s="83">
        <v>120</v>
      </c>
      <c r="H513" s="83" t="s">
        <v>1232</v>
      </c>
      <c r="I513" s="85">
        <v>810</v>
      </c>
      <c r="J513" s="86">
        <v>42051</v>
      </c>
      <c r="K513" s="83"/>
      <c r="M513" s="104"/>
      <c r="N513" s="104"/>
      <c r="O513" s="105"/>
      <c r="P513" s="104"/>
      <c r="Q513" s="104"/>
    </row>
    <row r="514" s="17" customFormat="1" ht="26.25" customHeight="1" spans="1:17">
      <c r="A514" s="82">
        <f t="shared" si="7"/>
        <v>513</v>
      </c>
      <c r="B514" s="87" t="s">
        <v>1266</v>
      </c>
      <c r="C514" s="83" t="s">
        <v>322</v>
      </c>
      <c r="D514" s="83" t="s">
        <v>750</v>
      </c>
      <c r="E514" s="83" t="s">
        <v>751</v>
      </c>
      <c r="F514" s="83" t="s">
        <v>752</v>
      </c>
      <c r="G514" s="83">
        <v>120</v>
      </c>
      <c r="H514" s="83" t="s">
        <v>1232</v>
      </c>
      <c r="I514" s="85">
        <v>805</v>
      </c>
      <c r="J514" s="86">
        <v>42051</v>
      </c>
      <c r="K514" s="83"/>
      <c r="L514" s="93"/>
      <c r="M514" s="93"/>
    </row>
    <row r="515" s="17" customFormat="1" ht="26.25" customHeight="1" spans="1:17">
      <c r="A515" s="82">
        <f t="shared" si="7"/>
        <v>514</v>
      </c>
      <c r="B515" s="87" t="s">
        <v>1267</v>
      </c>
      <c r="C515" s="83" t="s">
        <v>322</v>
      </c>
      <c r="D515" s="83" t="s">
        <v>750</v>
      </c>
      <c r="E515" s="83" t="s">
        <v>751</v>
      </c>
      <c r="F515" s="83" t="s">
        <v>752</v>
      </c>
      <c r="G515" s="83">
        <v>120</v>
      </c>
      <c r="H515" s="83" t="s">
        <v>1232</v>
      </c>
      <c r="I515" s="85">
        <f>23*15</f>
        <v>345</v>
      </c>
      <c r="J515" s="86">
        <v>42051</v>
      </c>
      <c r="K515" s="83"/>
      <c r="L515" s="93"/>
      <c r="M515" s="93"/>
    </row>
    <row r="516" s="17" customFormat="1" ht="26.25" customHeight="1" spans="1:17">
      <c r="A516" s="82">
        <f>ROW(B516)-1</f>
        <v>515</v>
      </c>
      <c r="B516" s="87" t="s">
        <v>1268</v>
      </c>
      <c r="C516" s="83" t="s">
        <v>322</v>
      </c>
      <c r="D516" s="83" t="s">
        <v>750</v>
      </c>
      <c r="E516" s="83" t="s">
        <v>751</v>
      </c>
      <c r="F516" s="83" t="s">
        <v>752</v>
      </c>
      <c r="G516" s="83">
        <v>120</v>
      </c>
      <c r="H516" s="83" t="s">
        <v>1269</v>
      </c>
      <c r="I516" s="85">
        <f>12*15</f>
        <v>180</v>
      </c>
      <c r="J516" s="86">
        <v>42051</v>
      </c>
      <c r="K516" s="83"/>
      <c r="L516" s="93"/>
      <c r="M516" s="93"/>
    </row>
    <row r="517" s="17" customFormat="1" ht="26.25" customHeight="1" spans="1:17">
      <c r="A517" s="82">
        <f>ROW(B517)-1</f>
        <v>516</v>
      </c>
      <c r="B517" s="87" t="s">
        <v>1270</v>
      </c>
      <c r="C517" s="83" t="s">
        <v>322</v>
      </c>
      <c r="D517" s="83" t="s">
        <v>750</v>
      </c>
      <c r="E517" s="83" t="s">
        <v>751</v>
      </c>
      <c r="F517" s="83" t="s">
        <v>752</v>
      </c>
      <c r="G517" s="83">
        <v>120</v>
      </c>
      <c r="H517" s="83" t="s">
        <v>1269</v>
      </c>
      <c r="I517" s="85">
        <f>30*15</f>
        <v>450</v>
      </c>
      <c r="J517" s="86">
        <v>42051</v>
      </c>
      <c r="K517" s="83"/>
      <c r="L517" s="93"/>
      <c r="M517" s="93"/>
    </row>
    <row r="518" s="17" customFormat="1" ht="26.25" customHeight="1" spans="1:17">
      <c r="A518" s="82">
        <f>ROW(B518)-1</f>
        <v>517</v>
      </c>
      <c r="B518" s="87" t="s">
        <v>1271</v>
      </c>
      <c r="C518" s="83" t="s">
        <v>322</v>
      </c>
      <c r="D518" s="83" t="s">
        <v>750</v>
      </c>
      <c r="E518" s="83" t="s">
        <v>751</v>
      </c>
      <c r="F518" s="83" t="s">
        <v>752</v>
      </c>
      <c r="G518" s="83">
        <v>120</v>
      </c>
      <c r="H518" s="83" t="s">
        <v>1232</v>
      </c>
      <c r="I518" s="85">
        <f>39*15</f>
        <v>585</v>
      </c>
      <c r="J518" s="86">
        <v>42051</v>
      </c>
      <c r="K518" s="83"/>
      <c r="L518" s="93"/>
      <c r="M518" s="93"/>
    </row>
    <row r="519" s="17" customFormat="1" ht="26.25" customHeight="1" spans="1:17">
      <c r="A519" s="82">
        <f>ROW(B519)-1</f>
        <v>518</v>
      </c>
      <c r="B519" s="87" t="s">
        <v>1272</v>
      </c>
      <c r="C519" s="83" t="s">
        <v>322</v>
      </c>
      <c r="D519" s="83" t="s">
        <v>750</v>
      </c>
      <c r="E519" s="83" t="s">
        <v>751</v>
      </c>
      <c r="F519" s="83" t="s">
        <v>752</v>
      </c>
      <c r="G519" s="83">
        <v>120</v>
      </c>
      <c r="H519" s="83" t="s">
        <v>1232</v>
      </c>
      <c r="I519" s="85">
        <f>58*15</f>
        <v>870</v>
      </c>
      <c r="J519" s="86">
        <v>42051</v>
      </c>
      <c r="K519" s="83"/>
      <c r="L519" s="93"/>
      <c r="M519" s="93"/>
    </row>
    <row r="520" s="17" customFormat="1" ht="26.25" customHeight="1" spans="1:17">
      <c r="A520" s="82">
        <f>ROW(B520)-1</f>
        <v>519</v>
      </c>
      <c r="B520" s="87" t="s">
        <v>1273</v>
      </c>
      <c r="C520" s="83" t="s">
        <v>322</v>
      </c>
      <c r="D520" s="83" t="s">
        <v>750</v>
      </c>
      <c r="E520" s="83" t="s">
        <v>751</v>
      </c>
      <c r="F520" s="83" t="s">
        <v>752</v>
      </c>
      <c r="G520" s="83">
        <v>120</v>
      </c>
      <c r="H520" s="83" t="s">
        <v>1269</v>
      </c>
      <c r="I520" s="85">
        <f>35*15</f>
        <v>525</v>
      </c>
      <c r="J520" s="86">
        <v>42051</v>
      </c>
      <c r="K520" s="83"/>
      <c r="L520" s="93"/>
      <c r="M520" s="93"/>
    </row>
    <row r="521" s="17" customFormat="1" ht="26.25" customHeight="1" spans="1:17">
      <c r="A521" s="82">
        <f>ROW(B521)-1</f>
        <v>520</v>
      </c>
      <c r="B521" s="87" t="s">
        <v>1274</v>
      </c>
      <c r="C521" s="83" t="s">
        <v>322</v>
      </c>
      <c r="D521" s="83" t="s">
        <v>750</v>
      </c>
      <c r="E521" s="83" t="s">
        <v>751</v>
      </c>
      <c r="F521" s="83" t="s">
        <v>752</v>
      </c>
      <c r="G521" s="83">
        <v>120</v>
      </c>
      <c r="H521" s="83" t="s">
        <v>1232</v>
      </c>
      <c r="I521" s="85">
        <v>60</v>
      </c>
      <c r="J521" s="86">
        <v>42051</v>
      </c>
      <c r="K521" s="83"/>
      <c r="L521" s="93"/>
      <c r="M521" s="93"/>
    </row>
    <row r="522" s="17" customFormat="1" ht="26.25" customHeight="1" spans="1:17">
      <c r="A522" s="82">
        <f>ROW(B522)-1</f>
        <v>521</v>
      </c>
      <c r="B522" s="87" t="s">
        <v>1275</v>
      </c>
      <c r="C522" s="83" t="s">
        <v>322</v>
      </c>
      <c r="D522" s="83" t="s">
        <v>750</v>
      </c>
      <c r="E522" s="83" t="s">
        <v>751</v>
      </c>
      <c r="F522" s="83" t="s">
        <v>752</v>
      </c>
      <c r="G522" s="83">
        <v>120</v>
      </c>
      <c r="H522" s="83" t="s">
        <v>1232</v>
      </c>
      <c r="I522" s="85">
        <v>75</v>
      </c>
      <c r="J522" s="86">
        <v>42051</v>
      </c>
      <c r="K522" s="83"/>
      <c r="L522" s="93"/>
      <c r="M522" s="93"/>
    </row>
    <row r="523" s="17" customFormat="1" ht="26.25" customHeight="1" spans="1:17">
      <c r="A523" s="82">
        <f>ROW(B523)-1</f>
        <v>522</v>
      </c>
      <c r="B523" s="87" t="s">
        <v>1276</v>
      </c>
      <c r="C523" s="83" t="s">
        <v>322</v>
      </c>
      <c r="D523" s="83" t="s">
        <v>750</v>
      </c>
      <c r="E523" s="83" t="s">
        <v>751</v>
      </c>
      <c r="F523" s="83" t="s">
        <v>752</v>
      </c>
      <c r="G523" s="83">
        <v>120</v>
      </c>
      <c r="H523" s="83" t="s">
        <v>1232</v>
      </c>
      <c r="I523" s="85">
        <v>280</v>
      </c>
      <c r="J523" s="86">
        <v>42051</v>
      </c>
      <c r="K523" s="83"/>
      <c r="L523" s="93"/>
      <c r="M523" s="93"/>
    </row>
    <row r="524" s="17" customFormat="1" ht="26.25" customHeight="1" spans="1:17">
      <c r="A524" s="82">
        <f>ROW(B524)-1</f>
        <v>523</v>
      </c>
      <c r="B524" s="87" t="s">
        <v>1277</v>
      </c>
      <c r="C524" s="83" t="s">
        <v>322</v>
      </c>
      <c r="D524" s="83" t="s">
        <v>750</v>
      </c>
      <c r="E524" s="83" t="s">
        <v>751</v>
      </c>
      <c r="F524" s="83" t="s">
        <v>752</v>
      </c>
      <c r="G524" s="83">
        <v>120</v>
      </c>
      <c r="H524" s="83" t="s">
        <v>1232</v>
      </c>
      <c r="I524" s="85">
        <f>45*15</f>
        <v>675</v>
      </c>
      <c r="J524" s="86">
        <v>42051</v>
      </c>
      <c r="K524" s="83"/>
      <c r="L524" s="93"/>
      <c r="M524" s="93"/>
    </row>
    <row r="525" s="17" customFormat="1" ht="26.25" customHeight="1" spans="1:17">
      <c r="A525" s="82">
        <f>ROW(B525)-1</f>
        <v>524</v>
      </c>
      <c r="B525" s="87" t="s">
        <v>1278</v>
      </c>
      <c r="C525" s="83" t="s">
        <v>322</v>
      </c>
      <c r="D525" s="83" t="s">
        <v>750</v>
      </c>
      <c r="E525" s="83" t="s">
        <v>751</v>
      </c>
      <c r="F525" s="83" t="s">
        <v>752</v>
      </c>
      <c r="G525" s="83">
        <v>120</v>
      </c>
      <c r="H525" s="83" t="s">
        <v>1232</v>
      </c>
      <c r="I525" s="85">
        <f>11*15</f>
        <v>165</v>
      </c>
      <c r="J525" s="86">
        <v>42051</v>
      </c>
      <c r="K525" s="83"/>
      <c r="L525" s="93"/>
      <c r="M525" s="93"/>
    </row>
    <row r="526" s="17" customFormat="1" ht="26.25" customHeight="1" spans="1:17">
      <c r="A526" s="82">
        <f>ROW(B526)-1</f>
        <v>525</v>
      </c>
      <c r="B526" s="87" t="s">
        <v>1279</v>
      </c>
      <c r="C526" s="83" t="s">
        <v>322</v>
      </c>
      <c r="D526" s="83" t="s">
        <v>750</v>
      </c>
      <c r="E526" s="83" t="s">
        <v>751</v>
      </c>
      <c r="F526" s="83" t="s">
        <v>752</v>
      </c>
      <c r="G526" s="83">
        <v>120</v>
      </c>
      <c r="H526" s="83" t="s">
        <v>1232</v>
      </c>
      <c r="I526" s="85">
        <f>22*15</f>
        <v>330</v>
      </c>
      <c r="J526" s="86">
        <v>42051</v>
      </c>
      <c r="K526" s="83"/>
      <c r="L526" s="93"/>
      <c r="M526" s="93"/>
    </row>
    <row r="527" s="17" customFormat="1" ht="26.25" customHeight="1" spans="1:17">
      <c r="A527" s="82">
        <f>ROW(B527)-1</f>
        <v>526</v>
      </c>
      <c r="B527" s="87" t="s">
        <v>1280</v>
      </c>
      <c r="C527" s="83" t="s">
        <v>322</v>
      </c>
      <c r="D527" s="83" t="s">
        <v>750</v>
      </c>
      <c r="E527" s="83" t="s">
        <v>751</v>
      </c>
      <c r="F527" s="83" t="s">
        <v>752</v>
      </c>
      <c r="G527" s="83">
        <v>120</v>
      </c>
      <c r="H527" s="83" t="s">
        <v>1232</v>
      </c>
      <c r="I527" s="85">
        <v>90</v>
      </c>
      <c r="J527" s="86">
        <v>42051</v>
      </c>
      <c r="K527" s="83"/>
      <c r="L527" s="93"/>
      <c r="M527" s="93"/>
    </row>
    <row r="528" s="17" customFormat="1" ht="26.25" customHeight="1" spans="1:17">
      <c r="A528" s="82">
        <f>ROW(B528)-1</f>
        <v>527</v>
      </c>
      <c r="B528" s="87" t="s">
        <v>1281</v>
      </c>
      <c r="C528" s="83" t="s">
        <v>322</v>
      </c>
      <c r="D528" s="83" t="s">
        <v>750</v>
      </c>
      <c r="E528" s="83" t="s">
        <v>751</v>
      </c>
      <c r="F528" s="83" t="s">
        <v>752</v>
      </c>
      <c r="G528" s="83">
        <v>120</v>
      </c>
      <c r="H528" s="83" t="s">
        <v>1232</v>
      </c>
      <c r="I528" s="85">
        <f>7*15</f>
        <v>105</v>
      </c>
      <c r="J528" s="86">
        <v>42051</v>
      </c>
      <c r="K528" s="83"/>
      <c r="L528" s="93"/>
      <c r="M528" s="93"/>
    </row>
    <row r="529" s="17" customFormat="1" ht="26.25" customHeight="1" spans="1:17">
      <c r="A529" s="82">
        <f>ROW(B529)-1</f>
        <v>528</v>
      </c>
      <c r="B529" s="87" t="s">
        <v>1282</v>
      </c>
      <c r="C529" s="83" t="s">
        <v>322</v>
      </c>
      <c r="D529" s="83" t="s">
        <v>750</v>
      </c>
      <c r="E529" s="83" t="s">
        <v>751</v>
      </c>
      <c r="F529" s="83" t="s">
        <v>752</v>
      </c>
      <c r="G529" s="83">
        <v>120</v>
      </c>
      <c r="H529" s="83" t="s">
        <v>1232</v>
      </c>
      <c r="I529" s="85">
        <f>54*15</f>
        <v>810</v>
      </c>
      <c r="J529" s="86">
        <v>42051</v>
      </c>
      <c r="K529" s="83"/>
      <c r="L529" s="93"/>
      <c r="M529" s="93"/>
    </row>
    <row r="530" s="17" customFormat="1" ht="26.25" customHeight="1" spans="1:17">
      <c r="A530" s="82">
        <f>ROW(B530)-1</f>
        <v>529</v>
      </c>
      <c r="B530" s="87" t="s">
        <v>1283</v>
      </c>
      <c r="C530" s="83" t="s">
        <v>322</v>
      </c>
      <c r="D530" s="83" t="s">
        <v>750</v>
      </c>
      <c r="E530" s="83" t="s">
        <v>751</v>
      </c>
      <c r="F530" s="83" t="s">
        <v>752</v>
      </c>
      <c r="G530" s="83">
        <v>120</v>
      </c>
      <c r="H530" s="83" t="s">
        <v>1232</v>
      </c>
      <c r="I530" s="85">
        <v>90</v>
      </c>
      <c r="J530" s="86">
        <v>42051</v>
      </c>
      <c r="K530" s="83"/>
      <c r="L530" s="93"/>
      <c r="M530" s="93"/>
    </row>
    <row r="531" s="17" customFormat="1" ht="26.25" customHeight="1" spans="1:17">
      <c r="A531" s="82">
        <f>ROW(B531)-1</f>
        <v>530</v>
      </c>
      <c r="B531" s="87" t="s">
        <v>1284</v>
      </c>
      <c r="C531" s="83" t="s">
        <v>322</v>
      </c>
      <c r="D531" s="83" t="s">
        <v>750</v>
      </c>
      <c r="E531" s="83" t="s">
        <v>751</v>
      </c>
      <c r="F531" s="83" t="s">
        <v>752</v>
      </c>
      <c r="G531" s="83">
        <v>120</v>
      </c>
      <c r="H531" s="83" t="s">
        <v>1232</v>
      </c>
      <c r="I531" s="85">
        <f>41*15</f>
        <v>615</v>
      </c>
      <c r="J531" s="86">
        <v>42051</v>
      </c>
      <c r="K531" s="83"/>
      <c r="L531" s="93"/>
      <c r="M531" s="93"/>
    </row>
    <row r="532" s="17" customFormat="1" ht="26.25" customHeight="1" spans="1:17">
      <c r="A532" s="82">
        <f>ROW(B532)-1</f>
        <v>531</v>
      </c>
      <c r="B532" s="87" t="s">
        <v>1285</v>
      </c>
      <c r="C532" s="83" t="s">
        <v>322</v>
      </c>
      <c r="D532" s="83" t="s">
        <v>750</v>
      </c>
      <c r="E532" s="83" t="s">
        <v>751</v>
      </c>
      <c r="F532" s="83" t="s">
        <v>752</v>
      </c>
      <c r="G532" s="83">
        <v>120</v>
      </c>
      <c r="H532" s="83" t="s">
        <v>1232</v>
      </c>
      <c r="I532" s="85">
        <f>45*15</f>
        <v>675</v>
      </c>
      <c r="J532" s="86">
        <v>42051</v>
      </c>
      <c r="K532" s="83"/>
      <c r="L532" s="93"/>
      <c r="M532" s="93"/>
    </row>
    <row r="533" s="17" customFormat="1" ht="26.25" customHeight="1" spans="1:17">
      <c r="A533" s="82">
        <f>ROW(B533)-1</f>
        <v>532</v>
      </c>
      <c r="B533" s="87" t="s">
        <v>1286</v>
      </c>
      <c r="C533" s="83" t="s">
        <v>322</v>
      </c>
      <c r="D533" s="83" t="s">
        <v>750</v>
      </c>
      <c r="E533" s="83" t="s">
        <v>751</v>
      </c>
      <c r="F533" s="83" t="s">
        <v>752</v>
      </c>
      <c r="G533" s="83">
        <v>120</v>
      </c>
      <c r="H533" s="83" t="s">
        <v>1232</v>
      </c>
      <c r="I533" s="85">
        <v>45</v>
      </c>
      <c r="J533" s="86">
        <v>42051</v>
      </c>
      <c r="K533" s="83"/>
      <c r="L533" s="93"/>
      <c r="M533" s="93"/>
    </row>
    <row r="534" s="17" customFormat="1" ht="26.25" customHeight="1" spans="1:17">
      <c r="A534" s="82">
        <f>ROW(B534)-1</f>
        <v>533</v>
      </c>
      <c r="B534" s="87" t="s">
        <v>1287</v>
      </c>
      <c r="C534" s="83" t="s">
        <v>322</v>
      </c>
      <c r="D534" s="83" t="s">
        <v>750</v>
      </c>
      <c r="E534" s="83" t="s">
        <v>751</v>
      </c>
      <c r="F534" s="83" t="s">
        <v>752</v>
      </c>
      <c r="G534" s="83">
        <v>120</v>
      </c>
      <c r="H534" s="83" t="s">
        <v>1232</v>
      </c>
      <c r="I534" s="85">
        <f>12*15</f>
        <v>180</v>
      </c>
      <c r="J534" s="86">
        <v>42051</v>
      </c>
      <c r="K534" s="83"/>
      <c r="L534" s="93"/>
      <c r="M534" s="93"/>
    </row>
    <row r="535" s="17" customFormat="1" ht="26.25" customHeight="1" spans="1:17">
      <c r="A535" s="82">
        <f>ROW(B535)-1</f>
        <v>534</v>
      </c>
      <c r="B535" s="87" t="s">
        <v>1288</v>
      </c>
      <c r="C535" s="83" t="s">
        <v>322</v>
      </c>
      <c r="D535" s="83" t="s">
        <v>750</v>
      </c>
      <c r="E535" s="83" t="s">
        <v>751</v>
      </c>
      <c r="F535" s="83" t="s">
        <v>752</v>
      </c>
      <c r="G535" s="83">
        <v>120</v>
      </c>
      <c r="H535" s="83" t="s">
        <v>1232</v>
      </c>
      <c r="I535" s="85">
        <f>14*15</f>
        <v>210</v>
      </c>
      <c r="J535" s="86">
        <v>42051</v>
      </c>
      <c r="K535" s="83"/>
      <c r="L535" s="93"/>
      <c r="M535" s="93"/>
    </row>
    <row r="536" ht="26.25" customHeight="1" spans="1:17">
      <c r="A536" s="82">
        <f>ROW(B536)-1</f>
        <v>535</v>
      </c>
      <c r="B536" s="84" t="s">
        <v>1265</v>
      </c>
      <c r="C536" s="83" t="s">
        <v>322</v>
      </c>
      <c r="D536" s="83" t="s">
        <v>897</v>
      </c>
      <c r="E536" s="83" t="s">
        <v>898</v>
      </c>
      <c r="F536" s="83" t="s">
        <v>899</v>
      </c>
      <c r="G536" s="83">
        <v>120</v>
      </c>
      <c r="H536" s="83" t="s">
        <v>1232</v>
      </c>
      <c r="I536" s="84">
        <v>810</v>
      </c>
      <c r="J536" s="86">
        <v>42051</v>
      </c>
      <c r="K536" s="83"/>
      <c r="M536" s="104"/>
      <c r="N536" s="104"/>
      <c r="O536" s="104"/>
      <c r="P536" s="104"/>
      <c r="Q536" s="104"/>
    </row>
    <row r="537" ht="26.25" customHeight="1" spans="1:17">
      <c r="A537" s="82">
        <f>ROW(B537)-1</f>
        <v>536</v>
      </c>
      <c r="B537" s="84" t="s">
        <v>1289</v>
      </c>
      <c r="C537" s="83" t="s">
        <v>322</v>
      </c>
      <c r="D537" s="83" t="s">
        <v>897</v>
      </c>
      <c r="E537" s="83" t="s">
        <v>898</v>
      </c>
      <c r="F537" s="83" t="s">
        <v>899</v>
      </c>
      <c r="G537" s="83">
        <v>120</v>
      </c>
      <c r="H537" s="83" t="s">
        <v>1232</v>
      </c>
      <c r="I537" s="84">
        <f>1762780-1760075</f>
        <v>2705</v>
      </c>
      <c r="J537" s="86">
        <v>42051</v>
      </c>
      <c r="K537" s="83"/>
    </row>
    <row r="538" ht="26.25" customHeight="1" spans="1:17">
      <c r="A538" s="82">
        <f>ROW(B538)-1</f>
        <v>537</v>
      </c>
      <c r="B538" s="84" t="s">
        <v>1290</v>
      </c>
      <c r="C538" s="83" t="s">
        <v>322</v>
      </c>
      <c r="D538" s="83" t="s">
        <v>897</v>
      </c>
      <c r="E538" s="83" t="s">
        <v>898</v>
      </c>
      <c r="F538" s="83" t="s">
        <v>899</v>
      </c>
      <c r="G538" s="83">
        <v>120</v>
      </c>
      <c r="H538" s="83" t="s">
        <v>1232</v>
      </c>
      <c r="I538" s="84">
        <f>1765225-1762825</f>
        <v>2400</v>
      </c>
      <c r="J538" s="86">
        <v>42051</v>
      </c>
      <c r="K538" s="83"/>
    </row>
    <row r="539" ht="26.25" customHeight="1" spans="1:17">
      <c r="A539" s="82">
        <f>ROW(B539)-1</f>
        <v>538</v>
      </c>
      <c r="B539" s="84" t="s">
        <v>1291</v>
      </c>
      <c r="C539" s="83" t="s">
        <v>322</v>
      </c>
      <c r="D539" s="83" t="s">
        <v>897</v>
      </c>
      <c r="E539" s="83" t="s">
        <v>898</v>
      </c>
      <c r="F539" s="83" t="s">
        <v>899</v>
      </c>
      <c r="G539" s="83">
        <v>120</v>
      </c>
      <c r="H539" s="83" t="s">
        <v>1232</v>
      </c>
      <c r="I539" s="84">
        <f>1768715-1765270</f>
        <v>3445</v>
      </c>
      <c r="J539" s="86">
        <v>42051</v>
      </c>
      <c r="K539" s="83"/>
    </row>
    <row r="540" ht="26.25" customHeight="1" spans="1:17">
      <c r="A540" s="82">
        <f>ROW(B540)-1</f>
        <v>539</v>
      </c>
      <c r="B540" s="84" t="s">
        <v>1292</v>
      </c>
      <c r="C540" s="83" t="s">
        <v>322</v>
      </c>
      <c r="D540" s="83" t="s">
        <v>897</v>
      </c>
      <c r="E540" s="83" t="s">
        <v>898</v>
      </c>
      <c r="F540" s="83" t="s">
        <v>899</v>
      </c>
      <c r="G540" s="83">
        <v>120</v>
      </c>
      <c r="H540" s="83" t="s">
        <v>1232</v>
      </c>
      <c r="I540" s="84">
        <f>1769955-1768760</f>
        <v>1195</v>
      </c>
      <c r="J540" s="86">
        <v>42051</v>
      </c>
      <c r="K540" s="83"/>
    </row>
    <row r="541" ht="26.25" customHeight="1" spans="1:17">
      <c r="A541" s="82">
        <f>ROW(B541)-1</f>
        <v>540</v>
      </c>
      <c r="B541" s="84" t="s">
        <v>1260</v>
      </c>
      <c r="C541" s="83" t="s">
        <v>322</v>
      </c>
      <c r="D541" s="83" t="s">
        <v>897</v>
      </c>
      <c r="E541" s="83" t="s">
        <v>898</v>
      </c>
      <c r="F541" s="83" t="s">
        <v>899</v>
      </c>
      <c r="G541" s="83">
        <v>120</v>
      </c>
      <c r="H541" s="83" t="s">
        <v>1232</v>
      </c>
      <c r="I541" s="84">
        <v>435</v>
      </c>
      <c r="J541" s="86">
        <v>42051</v>
      </c>
      <c r="K541" s="83"/>
    </row>
    <row r="542" ht="23.25" customHeight="1" spans="1:17">
      <c r="A542" s="83"/>
      <c r="B542" s="106" t="s">
        <v>1293</v>
      </c>
      <c r="C542" s="107"/>
      <c r="D542" s="107"/>
      <c r="E542" s="107"/>
      <c r="F542" s="107"/>
      <c r="G542" s="107"/>
      <c r="H542" s="108"/>
      <c r="I542" s="109">
        <f>SUM(I2:I541)</f>
        <v>203207</v>
      </c>
      <c r="J542" s="109"/>
      <c r="K542" s="92"/>
    </row>
    <row r="543" spans="1:17">
      <c r="A543" s="110" t="s">
        <v>1294</v>
      </c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</row>
    <row r="544" spans="1:17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</row>
    <row r="545" spans="1:13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</row>
    <row r="546" spans="1:13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</row>
    <row r="550" spans="1:13">
      <c r="J550" s="111"/>
      <c r="K550" s="111"/>
      <c r="L550" s="111"/>
      <c r="M550" s="111"/>
    </row>
    <row r="551" spans="1:13">
      <c r="J551" s="111"/>
      <c r="K551" s="111"/>
      <c r="L551" s="111"/>
      <c r="M551" s="111"/>
    </row>
    <row r="552" spans="1:13">
      <c r="J552" s="111"/>
      <c r="K552" s="104"/>
      <c r="L552" s="104"/>
      <c r="M552" s="111"/>
    </row>
    <row r="553" spans="1:13">
      <c r="J553" s="111"/>
      <c r="K553" s="104"/>
      <c r="L553" s="104"/>
      <c r="M553" s="111"/>
    </row>
    <row r="554" spans="1:13">
      <c r="J554" s="111"/>
      <c r="K554" s="104"/>
      <c r="L554" s="105"/>
      <c r="M554" s="111"/>
    </row>
    <row r="555" spans="1:13">
      <c r="J555" s="111"/>
      <c r="K555" s="104"/>
      <c r="L555" s="105"/>
      <c r="M555" s="111"/>
    </row>
    <row r="556" spans="1:13">
      <c r="J556" s="111"/>
      <c r="K556" s="104"/>
      <c r="L556" s="104"/>
      <c r="M556" s="111"/>
    </row>
    <row r="557" spans="1:13">
      <c r="J557" s="111"/>
      <c r="K557" s="104"/>
      <c r="L557" s="104"/>
      <c r="M557" s="111"/>
    </row>
    <row r="558" customFormat="1" spans="1:13">
      <c r="J558" s="111"/>
      <c r="K558" s="104"/>
      <c r="L558" s="104"/>
      <c r="M558" s="111"/>
    </row>
    <row r="559" customFormat="1" spans="1:13">
      <c r="J559" s="111"/>
      <c r="K559" s="104"/>
      <c r="L559" s="105"/>
      <c r="M559" s="111"/>
    </row>
    <row r="560" customFormat="1" spans="1:13">
      <c r="J560" s="111"/>
      <c r="K560" s="104"/>
      <c r="L560" s="104"/>
      <c r="M560" s="111"/>
    </row>
    <row r="561" customFormat="1" spans="11:12">
      <c r="K561" s="17"/>
      <c r="L561" s="104"/>
    </row>
    <row r="562" customFormat="1" spans="11:12">
      <c r="K562" s="17"/>
      <c r="L562" s="104"/>
    </row>
    <row r="563" customFormat="1" spans="11:12">
      <c r="L563" s="111"/>
    </row>
  </sheetData>
  <mergeCells count="2">
    <mergeCell ref="B542:H542"/>
    <mergeCell ref="A543:K546"/>
  </mergeCells>
  <pageMargins left="0.52" right="0.29" top="0.37" bottom="0.31" header="0.31496062992126" footer="0.31496062992126"/>
  <pageSetup paperSize="9" orientation="landscape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9"/>
  <sheetViews>
    <sheetView topLeftCell="B1" workbookViewId="0">
      <selection activeCell="F4" sqref="F4"/>
    </sheetView>
  </sheetViews>
  <sheetFormatPr defaultColWidth="9" defaultRowHeight="14"/>
  <cols>
    <col min="1" max="1" width="7" style="38" hidden="1" customWidth="1"/>
    <col min="2" max="2" width="26.2545454545455" style="38" customWidth="1"/>
    <col min="3" max="3" width="9.87272727272727" style="38" customWidth="1"/>
    <col min="4" max="4" width="13.1272727272727" style="38" customWidth="1"/>
    <col min="5" max="5" width="11.1272727272727" style="38" customWidth="1"/>
    <col min="6" max="6" width="13.2545454545455" style="38" customWidth="1"/>
    <col min="7" max="7" width="8.75454545454545" style="39" customWidth="1"/>
    <col min="8" max="9" width="8.75454545454545" style="38" customWidth="1"/>
    <col min="10" max="10" width="15" style="38" hidden="1" customWidth="1"/>
    <col min="11" max="11" width="18.3727272727273" style="38" customWidth="1"/>
    <col min="12" max="16384" width="9" style="38"/>
  </cols>
  <sheetData>
    <row r="1" ht="39" spans="1:11">
      <c r="A1" s="40" t="s">
        <v>0</v>
      </c>
      <c r="B1" s="41" t="s">
        <v>741</v>
      </c>
      <c r="C1" s="41" t="s">
        <v>1295</v>
      </c>
      <c r="D1" s="41" t="s">
        <v>742</v>
      </c>
      <c r="E1" s="41" t="s">
        <v>1296</v>
      </c>
      <c r="F1" s="41" t="s">
        <v>1297</v>
      </c>
      <c r="G1" s="41" t="s">
        <v>1298</v>
      </c>
      <c r="H1" s="41" t="s">
        <v>1299</v>
      </c>
      <c r="I1" s="41" t="s">
        <v>1300</v>
      </c>
      <c r="J1" s="41" t="s">
        <v>9</v>
      </c>
      <c r="K1" s="41" t="s">
        <v>748</v>
      </c>
    </row>
    <row r="2" ht="24" customHeight="1" spans="1:11">
      <c r="A2" s="42">
        <v>1</v>
      </c>
      <c r="B2" s="43" t="s">
        <v>1301</v>
      </c>
      <c r="C2" s="41" t="s">
        <v>13</v>
      </c>
      <c r="D2" s="41" t="s">
        <v>1302</v>
      </c>
      <c r="E2" s="41" t="s">
        <v>1303</v>
      </c>
      <c r="F2" s="41"/>
      <c r="G2" s="44" t="s">
        <v>1304</v>
      </c>
      <c r="H2" s="45" t="s">
        <v>1305</v>
      </c>
      <c r="I2" s="46">
        <v>51.07</v>
      </c>
      <c r="J2" s="47">
        <v>37941</v>
      </c>
      <c r="K2" s="48" t="s">
        <v>1306</v>
      </c>
    </row>
    <row r="3" ht="24" customHeight="1" spans="1:11">
      <c r="A3" s="42">
        <v>2</v>
      </c>
      <c r="B3" s="43" t="s">
        <v>1301</v>
      </c>
      <c r="C3" s="41" t="s">
        <v>1307</v>
      </c>
      <c r="D3" s="41" t="s">
        <v>1308</v>
      </c>
      <c r="E3" s="41" t="s">
        <v>1309</v>
      </c>
      <c r="F3" s="41"/>
      <c r="G3" s="44" t="s">
        <v>1304</v>
      </c>
      <c r="H3" s="45" t="s">
        <v>1305</v>
      </c>
      <c r="I3" s="46">
        <v>51.07</v>
      </c>
      <c r="J3" s="47">
        <v>37941</v>
      </c>
      <c r="K3" s="49"/>
    </row>
    <row r="4" ht="24" customHeight="1" spans="1:11">
      <c r="A4" s="42"/>
      <c r="B4" s="43" t="s">
        <v>1301</v>
      </c>
      <c r="C4" s="41" t="s">
        <v>322</v>
      </c>
      <c r="D4" s="41" t="s">
        <v>1302</v>
      </c>
      <c r="E4" s="41" t="s">
        <v>1303</v>
      </c>
      <c r="F4" s="41"/>
      <c r="G4" s="44" t="s">
        <v>1304</v>
      </c>
      <c r="H4" s="45" t="s">
        <v>1305</v>
      </c>
      <c r="I4" s="46">
        <v>51.07</v>
      </c>
      <c r="J4" s="47">
        <v>37941</v>
      </c>
      <c r="K4" s="50"/>
    </row>
    <row r="5" ht="24" customHeight="1" spans="1:11">
      <c r="A5" s="42">
        <v>3</v>
      </c>
      <c r="B5" s="43" t="s">
        <v>1310</v>
      </c>
      <c r="C5" s="41" t="s">
        <v>13</v>
      </c>
      <c r="D5" s="41" t="s">
        <v>1302</v>
      </c>
      <c r="E5" s="41" t="s">
        <v>1303</v>
      </c>
      <c r="F5" s="41"/>
      <c r="G5" s="44" t="s">
        <v>1304</v>
      </c>
      <c r="H5" s="45" t="s">
        <v>1305</v>
      </c>
      <c r="I5" s="46">
        <v>20.6</v>
      </c>
      <c r="J5" s="47">
        <v>37941</v>
      </c>
      <c r="K5" s="48" t="s">
        <v>1311</v>
      </c>
    </row>
    <row r="6" ht="24" customHeight="1" spans="1:11">
      <c r="A6" s="42">
        <v>4</v>
      </c>
      <c r="B6" s="43" t="s">
        <v>1310</v>
      </c>
      <c r="C6" s="41" t="s">
        <v>1307</v>
      </c>
      <c r="D6" s="41" t="s">
        <v>1308</v>
      </c>
      <c r="E6" s="41" t="s">
        <v>1309</v>
      </c>
      <c r="F6" s="41"/>
      <c r="G6" s="51" t="s">
        <v>1312</v>
      </c>
      <c r="H6" s="45" t="s">
        <v>1305</v>
      </c>
      <c r="I6" s="46">
        <v>20.6</v>
      </c>
      <c r="J6" s="47">
        <v>37941</v>
      </c>
      <c r="K6" s="49"/>
    </row>
    <row r="7" ht="24" customHeight="1" spans="1:11">
      <c r="A7" s="42"/>
      <c r="B7" s="43" t="s">
        <v>1310</v>
      </c>
      <c r="C7" s="41" t="s">
        <v>322</v>
      </c>
      <c r="D7" s="41" t="s">
        <v>1302</v>
      </c>
      <c r="E7" s="41" t="s">
        <v>1303</v>
      </c>
      <c r="F7" s="41"/>
      <c r="G7" s="51" t="s">
        <v>1312</v>
      </c>
      <c r="H7" s="45" t="s">
        <v>1305</v>
      </c>
      <c r="I7" s="46">
        <v>20.6</v>
      </c>
      <c r="J7" s="47">
        <v>37941</v>
      </c>
      <c r="K7" s="50"/>
    </row>
    <row r="8" ht="24" customHeight="1" spans="1:11">
      <c r="A8" s="42">
        <v>5</v>
      </c>
      <c r="B8" s="43" t="s">
        <v>1313</v>
      </c>
      <c r="C8" s="41" t="s">
        <v>13</v>
      </c>
      <c r="D8" s="41" t="s">
        <v>1302</v>
      </c>
      <c r="E8" s="41" t="s">
        <v>1303</v>
      </c>
      <c r="F8" s="41"/>
      <c r="G8" s="44" t="s">
        <v>1304</v>
      </c>
      <c r="H8" s="45" t="s">
        <v>1305</v>
      </c>
      <c r="I8" s="46">
        <v>30</v>
      </c>
      <c r="J8" s="47">
        <v>37941</v>
      </c>
      <c r="K8" s="48" t="s">
        <v>1314</v>
      </c>
    </row>
    <row r="9" ht="24" customHeight="1" spans="1:11">
      <c r="A9" s="42">
        <v>6</v>
      </c>
      <c r="B9" s="43" t="s">
        <v>1313</v>
      </c>
      <c r="C9" s="41" t="s">
        <v>1307</v>
      </c>
      <c r="D9" s="41" t="s">
        <v>1308</v>
      </c>
      <c r="E9" s="41" t="s">
        <v>1309</v>
      </c>
      <c r="F9" s="41"/>
      <c r="G9" s="51" t="s">
        <v>1312</v>
      </c>
      <c r="H9" s="45" t="s">
        <v>1305</v>
      </c>
      <c r="I9" s="46">
        <v>30</v>
      </c>
      <c r="J9" s="47">
        <v>37941</v>
      </c>
      <c r="K9" s="49"/>
    </row>
    <row r="10" ht="24" customHeight="1" spans="1:11">
      <c r="A10" s="42"/>
      <c r="B10" s="43" t="s">
        <v>1313</v>
      </c>
      <c r="C10" s="41" t="s">
        <v>322</v>
      </c>
      <c r="D10" s="41" t="s">
        <v>1302</v>
      </c>
      <c r="E10" s="41" t="s">
        <v>1303</v>
      </c>
      <c r="F10" s="41"/>
      <c r="G10" s="44" t="s">
        <v>1304</v>
      </c>
      <c r="H10" s="45" t="s">
        <v>1305</v>
      </c>
      <c r="I10" s="46">
        <v>30</v>
      </c>
      <c r="J10" s="47">
        <v>37941</v>
      </c>
      <c r="K10" s="50"/>
    </row>
    <row r="11" ht="24" customHeight="1" spans="1:11">
      <c r="A11" s="42">
        <v>9</v>
      </c>
      <c r="B11" s="43" t="s">
        <v>1315</v>
      </c>
      <c r="C11" s="41" t="s">
        <v>13</v>
      </c>
      <c r="D11" s="41" t="s">
        <v>1302</v>
      </c>
      <c r="E11" s="41" t="s">
        <v>1316</v>
      </c>
      <c r="F11" s="41"/>
      <c r="G11" s="51" t="s">
        <v>1317</v>
      </c>
      <c r="H11" s="45"/>
      <c r="I11" s="46">
        <v>18.04</v>
      </c>
      <c r="J11" s="47">
        <v>37941</v>
      </c>
      <c r="K11" s="48" t="s">
        <v>1318</v>
      </c>
    </row>
    <row r="12" ht="24" customHeight="1" spans="1:11">
      <c r="A12" s="42">
        <v>10</v>
      </c>
      <c r="B12" s="43" t="s">
        <v>1315</v>
      </c>
      <c r="C12" s="41" t="s">
        <v>1307</v>
      </c>
      <c r="D12" s="41" t="s">
        <v>1308</v>
      </c>
      <c r="E12" s="41" t="s">
        <v>1309</v>
      </c>
      <c r="F12" s="41"/>
      <c r="G12" s="44" t="s">
        <v>1304</v>
      </c>
      <c r="H12" s="45" t="s">
        <v>1305</v>
      </c>
      <c r="I12" s="46">
        <v>18.04</v>
      </c>
      <c r="J12" s="47">
        <v>37941</v>
      </c>
      <c r="K12" s="49"/>
    </row>
    <row r="13" ht="24" customHeight="1" spans="1:11">
      <c r="A13" s="42"/>
      <c r="B13" s="43" t="s">
        <v>1315</v>
      </c>
      <c r="C13" s="41" t="s">
        <v>322</v>
      </c>
      <c r="D13" s="41" t="s">
        <v>1302</v>
      </c>
      <c r="E13" s="41" t="s">
        <v>1316</v>
      </c>
      <c r="F13" s="41"/>
      <c r="G13" s="51" t="s">
        <v>1317</v>
      </c>
      <c r="H13" s="45"/>
      <c r="I13" s="46">
        <v>18.04</v>
      </c>
      <c r="J13" s="47">
        <v>37941</v>
      </c>
      <c r="K13" s="50"/>
    </row>
    <row r="14" ht="24" customHeight="1" spans="1:11">
      <c r="A14" s="42">
        <v>11</v>
      </c>
      <c r="B14" s="43" t="s">
        <v>1319</v>
      </c>
      <c r="C14" s="41" t="s">
        <v>13</v>
      </c>
      <c r="D14" s="41" t="s">
        <v>1302</v>
      </c>
      <c r="E14" s="41" t="s">
        <v>1316</v>
      </c>
      <c r="F14" s="41"/>
      <c r="G14" s="51" t="s">
        <v>1317</v>
      </c>
      <c r="H14" s="45"/>
      <c r="I14" s="46">
        <v>18.04</v>
      </c>
      <c r="J14" s="47">
        <v>37941</v>
      </c>
      <c r="K14" s="48" t="s">
        <v>1320</v>
      </c>
    </row>
    <row r="15" ht="24" customHeight="1" spans="1:11">
      <c r="A15" s="42">
        <v>12</v>
      </c>
      <c r="B15" s="43" t="s">
        <v>1319</v>
      </c>
      <c r="C15" s="41" t="s">
        <v>1307</v>
      </c>
      <c r="D15" s="41" t="s">
        <v>1308</v>
      </c>
      <c r="E15" s="41" t="s">
        <v>1309</v>
      </c>
      <c r="F15" s="41"/>
      <c r="G15" s="44" t="s">
        <v>1304</v>
      </c>
      <c r="H15" s="45" t="s">
        <v>1305</v>
      </c>
      <c r="I15" s="46">
        <v>18.04</v>
      </c>
      <c r="J15" s="47">
        <v>37941</v>
      </c>
      <c r="K15" s="49"/>
    </row>
    <row r="16" ht="24" customHeight="1" spans="1:11">
      <c r="A16" s="42"/>
      <c r="B16" s="43" t="s">
        <v>1319</v>
      </c>
      <c r="C16" s="41" t="s">
        <v>322</v>
      </c>
      <c r="D16" s="41" t="s">
        <v>1302</v>
      </c>
      <c r="E16" s="41" t="s">
        <v>1316</v>
      </c>
      <c r="F16" s="41"/>
      <c r="G16" s="51" t="s">
        <v>1317</v>
      </c>
      <c r="H16" s="45"/>
      <c r="I16" s="46">
        <v>18.04</v>
      </c>
      <c r="J16" s="47">
        <v>37941</v>
      </c>
      <c r="K16" s="50"/>
    </row>
    <row r="17" ht="24" customHeight="1" spans="1:11">
      <c r="A17" s="42">
        <v>13</v>
      </c>
      <c r="B17" s="43" t="s">
        <v>1321</v>
      </c>
      <c r="C17" s="41" t="s">
        <v>13</v>
      </c>
      <c r="D17" s="41" t="s">
        <v>1302</v>
      </c>
      <c r="E17" s="41" t="s">
        <v>1303</v>
      </c>
      <c r="F17" s="41"/>
      <c r="G17" s="44" t="s">
        <v>1304</v>
      </c>
      <c r="H17" s="45" t="s">
        <v>1305</v>
      </c>
      <c r="I17" s="46">
        <v>132.37</v>
      </c>
      <c r="J17" s="47">
        <v>37941</v>
      </c>
      <c r="K17" s="48" t="s">
        <v>1322</v>
      </c>
    </row>
    <row r="18" ht="24" customHeight="1" spans="1:11">
      <c r="A18" s="42">
        <v>14</v>
      </c>
      <c r="B18" s="43" t="s">
        <v>1321</v>
      </c>
      <c r="C18" s="41" t="s">
        <v>1307</v>
      </c>
      <c r="D18" s="41" t="s">
        <v>1308</v>
      </c>
      <c r="E18" s="41" t="s">
        <v>1309</v>
      </c>
      <c r="F18" s="41"/>
      <c r="G18" s="51" t="s">
        <v>1312</v>
      </c>
      <c r="H18" s="45" t="s">
        <v>1305</v>
      </c>
      <c r="I18" s="46">
        <v>132.37</v>
      </c>
      <c r="J18" s="47">
        <v>37941</v>
      </c>
      <c r="K18" s="49"/>
    </row>
    <row r="19" ht="24" customHeight="1" spans="1:11">
      <c r="A19" s="42"/>
      <c r="B19" s="43" t="s">
        <v>1321</v>
      </c>
      <c r="C19" s="41" t="s">
        <v>322</v>
      </c>
      <c r="D19" s="41" t="s">
        <v>1302</v>
      </c>
      <c r="E19" s="41" t="s">
        <v>1303</v>
      </c>
      <c r="F19" s="41"/>
      <c r="G19" s="44" t="s">
        <v>1304</v>
      </c>
      <c r="H19" s="45" t="s">
        <v>1305</v>
      </c>
      <c r="I19" s="46">
        <v>132.37</v>
      </c>
      <c r="J19" s="47">
        <v>37941</v>
      </c>
      <c r="K19" s="50"/>
    </row>
    <row r="20" ht="24" customHeight="1" spans="1:11">
      <c r="A20" s="42">
        <v>15</v>
      </c>
      <c r="B20" s="43" t="s">
        <v>1323</v>
      </c>
      <c r="C20" s="41" t="s">
        <v>13</v>
      </c>
      <c r="D20" s="41" t="s">
        <v>1302</v>
      </c>
      <c r="E20" s="41" t="s">
        <v>1303</v>
      </c>
      <c r="F20" s="41"/>
      <c r="G20" s="44" t="s">
        <v>1304</v>
      </c>
      <c r="H20" s="45" t="s">
        <v>1305</v>
      </c>
      <c r="I20" s="46">
        <v>70</v>
      </c>
      <c r="J20" s="47">
        <v>37941</v>
      </c>
      <c r="K20" s="48" t="s">
        <v>1324</v>
      </c>
    </row>
    <row r="21" ht="24" customHeight="1" spans="1:11">
      <c r="A21" s="42">
        <v>16</v>
      </c>
      <c r="B21" s="43" t="s">
        <v>1323</v>
      </c>
      <c r="C21" s="41" t="s">
        <v>1307</v>
      </c>
      <c r="D21" s="41" t="s">
        <v>1308</v>
      </c>
      <c r="E21" s="41" t="s">
        <v>1309</v>
      </c>
      <c r="F21" s="41"/>
      <c r="G21" s="51" t="s">
        <v>1312</v>
      </c>
      <c r="H21" s="45" t="s">
        <v>1305</v>
      </c>
      <c r="I21" s="46">
        <v>70</v>
      </c>
      <c r="J21" s="47">
        <v>37941</v>
      </c>
      <c r="K21" s="49"/>
    </row>
    <row r="22" ht="24" customHeight="1" spans="1:11">
      <c r="A22" s="42"/>
      <c r="B22" s="43" t="s">
        <v>1323</v>
      </c>
      <c r="C22" s="41" t="s">
        <v>322</v>
      </c>
      <c r="D22" s="41" t="s">
        <v>1302</v>
      </c>
      <c r="E22" s="41" t="s">
        <v>1303</v>
      </c>
      <c r="F22" s="41"/>
      <c r="G22" s="44" t="s">
        <v>1304</v>
      </c>
      <c r="H22" s="45" t="s">
        <v>1305</v>
      </c>
      <c r="I22" s="46">
        <v>70</v>
      </c>
      <c r="J22" s="47">
        <v>37941</v>
      </c>
      <c r="K22" s="50"/>
    </row>
    <row r="23" ht="24" customHeight="1" spans="1:11">
      <c r="A23" s="42">
        <v>17</v>
      </c>
      <c r="B23" s="43" t="s">
        <v>1325</v>
      </c>
      <c r="C23" s="41" t="s">
        <v>13</v>
      </c>
      <c r="D23" s="41" t="s">
        <v>1302</v>
      </c>
      <c r="E23" s="41" t="s">
        <v>1316</v>
      </c>
      <c r="F23" s="41"/>
      <c r="G23" s="51" t="s">
        <v>1317</v>
      </c>
      <c r="H23" s="45"/>
      <c r="I23" s="46">
        <v>21.4</v>
      </c>
      <c r="J23" s="47">
        <v>37941</v>
      </c>
      <c r="K23" s="48" t="s">
        <v>1326</v>
      </c>
    </row>
    <row r="24" ht="24" customHeight="1" spans="1:11">
      <c r="A24" s="42">
        <v>18</v>
      </c>
      <c r="B24" s="43" t="s">
        <v>1325</v>
      </c>
      <c r="C24" s="41" t="s">
        <v>1307</v>
      </c>
      <c r="D24" s="41" t="s">
        <v>1308</v>
      </c>
      <c r="E24" s="41" t="s">
        <v>1309</v>
      </c>
      <c r="F24" s="41"/>
      <c r="G24" s="51" t="s">
        <v>1312</v>
      </c>
      <c r="H24" s="45" t="s">
        <v>1305</v>
      </c>
      <c r="I24" s="46">
        <v>21.4</v>
      </c>
      <c r="J24" s="47">
        <v>37941</v>
      </c>
      <c r="K24" s="49"/>
    </row>
    <row r="25" ht="24" customHeight="1" spans="1:11">
      <c r="A25" s="42"/>
      <c r="B25" s="43" t="s">
        <v>1325</v>
      </c>
      <c r="C25" s="41" t="s">
        <v>322</v>
      </c>
      <c r="D25" s="41" t="s">
        <v>1302</v>
      </c>
      <c r="E25" s="41" t="s">
        <v>1316</v>
      </c>
      <c r="F25" s="41"/>
      <c r="G25" s="51" t="s">
        <v>1317</v>
      </c>
      <c r="H25" s="45"/>
      <c r="I25" s="46">
        <v>21.4</v>
      </c>
      <c r="J25" s="47">
        <v>37941</v>
      </c>
      <c r="K25" s="50"/>
    </row>
    <row r="26" ht="24" customHeight="1" spans="1:11">
      <c r="A26" s="42">
        <v>19</v>
      </c>
      <c r="B26" s="43" t="s">
        <v>1327</v>
      </c>
      <c r="C26" s="41" t="s">
        <v>13</v>
      </c>
      <c r="D26" s="41" t="s">
        <v>1302</v>
      </c>
      <c r="E26" s="41" t="s">
        <v>1303</v>
      </c>
      <c r="F26" s="41"/>
      <c r="G26" s="44" t="s">
        <v>1304</v>
      </c>
      <c r="H26" s="45" t="s">
        <v>1305</v>
      </c>
      <c r="I26" s="46">
        <v>57.04</v>
      </c>
      <c r="J26" s="47">
        <v>37941</v>
      </c>
      <c r="K26" s="48" t="s">
        <v>1328</v>
      </c>
    </row>
    <row r="27" ht="24" customHeight="1" spans="1:11">
      <c r="A27" s="42">
        <v>20</v>
      </c>
      <c r="B27" s="43" t="s">
        <v>1327</v>
      </c>
      <c r="C27" s="41" t="s">
        <v>1307</v>
      </c>
      <c r="D27" s="41" t="s">
        <v>1308</v>
      </c>
      <c r="E27" s="41" t="s">
        <v>1309</v>
      </c>
      <c r="F27" s="41"/>
      <c r="G27" s="51" t="s">
        <v>1312</v>
      </c>
      <c r="H27" s="45" t="s">
        <v>1305</v>
      </c>
      <c r="I27" s="46">
        <v>57.04</v>
      </c>
      <c r="J27" s="47">
        <v>37941</v>
      </c>
      <c r="K27" s="49"/>
    </row>
    <row r="28" ht="24" customHeight="1" spans="1:11">
      <c r="A28" s="42"/>
      <c r="B28" s="43" t="s">
        <v>1327</v>
      </c>
      <c r="C28" s="41" t="s">
        <v>322</v>
      </c>
      <c r="D28" s="41" t="s">
        <v>1302</v>
      </c>
      <c r="E28" s="41" t="s">
        <v>1303</v>
      </c>
      <c r="F28" s="41"/>
      <c r="G28" s="44" t="s">
        <v>1304</v>
      </c>
      <c r="H28" s="45" t="s">
        <v>1305</v>
      </c>
      <c r="I28" s="46">
        <v>57.04</v>
      </c>
      <c r="J28" s="47">
        <v>37941</v>
      </c>
      <c r="K28" s="50"/>
    </row>
    <row r="29" ht="24" customHeight="1" spans="1:11">
      <c r="A29" s="42">
        <v>21</v>
      </c>
      <c r="B29" s="43" t="s">
        <v>1329</v>
      </c>
      <c r="C29" s="41" t="s">
        <v>13</v>
      </c>
      <c r="D29" s="41" t="s">
        <v>1302</v>
      </c>
      <c r="E29" s="41" t="s">
        <v>1303</v>
      </c>
      <c r="F29" s="41"/>
      <c r="G29" s="44" t="s">
        <v>1304</v>
      </c>
      <c r="H29" s="45" t="s">
        <v>1305</v>
      </c>
      <c r="I29" s="46">
        <v>53.54</v>
      </c>
      <c r="J29" s="47">
        <v>37941</v>
      </c>
      <c r="K29" s="48" t="s">
        <v>1330</v>
      </c>
    </row>
    <row r="30" ht="24" customHeight="1" spans="1:11">
      <c r="A30" s="42">
        <v>22</v>
      </c>
      <c r="B30" s="43" t="s">
        <v>1329</v>
      </c>
      <c r="C30" s="41" t="s">
        <v>1307</v>
      </c>
      <c r="D30" s="41" t="s">
        <v>1308</v>
      </c>
      <c r="E30" s="41" t="s">
        <v>1309</v>
      </c>
      <c r="F30" s="41"/>
      <c r="G30" s="51" t="s">
        <v>1312</v>
      </c>
      <c r="H30" s="45" t="s">
        <v>1305</v>
      </c>
      <c r="I30" s="46">
        <v>53.54</v>
      </c>
      <c r="J30" s="47">
        <v>37941</v>
      </c>
      <c r="K30" s="49"/>
    </row>
    <row r="31" ht="24" customHeight="1" spans="1:11">
      <c r="A31" s="42"/>
      <c r="B31" s="43" t="s">
        <v>1329</v>
      </c>
      <c r="C31" s="41" t="s">
        <v>322</v>
      </c>
      <c r="D31" s="41" t="s">
        <v>1302</v>
      </c>
      <c r="E31" s="41" t="s">
        <v>1303</v>
      </c>
      <c r="F31" s="41"/>
      <c r="G31" s="44" t="s">
        <v>1304</v>
      </c>
      <c r="H31" s="45" t="s">
        <v>1305</v>
      </c>
      <c r="I31" s="46">
        <v>53.54</v>
      </c>
      <c r="J31" s="47">
        <v>37941</v>
      </c>
      <c r="K31" s="50"/>
    </row>
    <row r="32" ht="24" customHeight="1" spans="1:11">
      <c r="A32" s="42">
        <v>23</v>
      </c>
      <c r="B32" s="43" t="s">
        <v>1331</v>
      </c>
      <c r="C32" s="41" t="s">
        <v>13</v>
      </c>
      <c r="D32" s="41" t="s">
        <v>1302</v>
      </c>
      <c r="E32" s="41" t="s">
        <v>1316</v>
      </c>
      <c r="F32" s="41"/>
      <c r="G32" s="51" t="s">
        <v>1317</v>
      </c>
      <c r="H32" s="45"/>
      <c r="I32" s="46">
        <v>16.04</v>
      </c>
      <c r="J32" s="47">
        <v>37941</v>
      </c>
      <c r="K32" s="48" t="s">
        <v>1332</v>
      </c>
    </row>
    <row r="33" ht="24" customHeight="1" spans="1:11">
      <c r="A33" s="42">
        <v>24</v>
      </c>
      <c r="B33" s="43" t="s">
        <v>1331</v>
      </c>
      <c r="C33" s="41" t="s">
        <v>1307</v>
      </c>
      <c r="D33" s="41" t="s">
        <v>1308</v>
      </c>
      <c r="E33" s="41" t="s">
        <v>1309</v>
      </c>
      <c r="F33" s="41"/>
      <c r="G33" s="44" t="s">
        <v>1304</v>
      </c>
      <c r="H33" s="45" t="s">
        <v>1305</v>
      </c>
      <c r="I33" s="46">
        <v>16.04</v>
      </c>
      <c r="J33" s="47">
        <v>37941</v>
      </c>
      <c r="K33" s="49"/>
    </row>
    <row r="34" ht="24" customHeight="1" spans="1:11">
      <c r="A34" s="52">
        <v>1</v>
      </c>
      <c r="B34" s="43" t="s">
        <v>1331</v>
      </c>
      <c r="C34" s="41" t="s">
        <v>322</v>
      </c>
      <c r="D34" s="41" t="s">
        <v>1302</v>
      </c>
      <c r="E34" s="41" t="s">
        <v>1316</v>
      </c>
      <c r="F34" s="41"/>
      <c r="G34" s="51" t="s">
        <v>1317</v>
      </c>
      <c r="H34" s="45"/>
      <c r="I34" s="46">
        <v>16.04</v>
      </c>
      <c r="J34" s="47">
        <v>37941</v>
      </c>
      <c r="K34" s="50"/>
    </row>
    <row r="35" ht="24" customHeight="1" spans="1:11">
      <c r="A35" s="42">
        <v>25</v>
      </c>
      <c r="B35" s="43" t="s">
        <v>1333</v>
      </c>
      <c r="C35" s="41" t="s">
        <v>13</v>
      </c>
      <c r="D35" s="41" t="s">
        <v>1302</v>
      </c>
      <c r="E35" s="41" t="s">
        <v>1303</v>
      </c>
      <c r="F35" s="41"/>
      <c r="G35" s="44" t="s">
        <v>1304</v>
      </c>
      <c r="H35" s="45" t="s">
        <v>1305</v>
      </c>
      <c r="I35" s="46">
        <v>26</v>
      </c>
      <c r="J35" s="47">
        <v>37941</v>
      </c>
      <c r="K35" s="48" t="s">
        <v>1334</v>
      </c>
    </row>
    <row r="36" ht="24" customHeight="1" spans="1:11">
      <c r="A36" s="42">
        <v>26</v>
      </c>
      <c r="B36" s="43" t="s">
        <v>1333</v>
      </c>
      <c r="C36" s="41" t="s">
        <v>1307</v>
      </c>
      <c r="D36" s="41" t="s">
        <v>1308</v>
      </c>
      <c r="E36" s="41" t="s">
        <v>1309</v>
      </c>
      <c r="F36" s="41"/>
      <c r="G36" s="51" t="s">
        <v>1312</v>
      </c>
      <c r="H36" s="45" t="s">
        <v>1305</v>
      </c>
      <c r="I36" s="46">
        <v>26</v>
      </c>
      <c r="J36" s="47">
        <v>37941</v>
      </c>
      <c r="K36" s="49"/>
    </row>
    <row r="37" ht="24" customHeight="1" spans="1:11">
      <c r="A37" s="52">
        <v>1</v>
      </c>
      <c r="B37" s="43" t="s">
        <v>1333</v>
      </c>
      <c r="C37" s="41" t="s">
        <v>322</v>
      </c>
      <c r="D37" s="41" t="s">
        <v>1302</v>
      </c>
      <c r="E37" s="41" t="s">
        <v>1303</v>
      </c>
      <c r="F37" s="41"/>
      <c r="G37" s="44" t="s">
        <v>1304</v>
      </c>
      <c r="H37" s="45" t="s">
        <v>1305</v>
      </c>
      <c r="I37" s="46">
        <v>26</v>
      </c>
      <c r="J37" s="47">
        <v>37941</v>
      </c>
      <c r="K37" s="50"/>
    </row>
    <row r="38" ht="24" customHeight="1" spans="1:11">
      <c r="A38" s="42">
        <v>27</v>
      </c>
      <c r="B38" s="43" t="s">
        <v>1335</v>
      </c>
      <c r="C38" s="41" t="s">
        <v>13</v>
      </c>
      <c r="D38" s="41" t="s">
        <v>1302</v>
      </c>
      <c r="E38" s="41" t="s">
        <v>1316</v>
      </c>
      <c r="F38" s="41"/>
      <c r="G38" s="51" t="s">
        <v>1317</v>
      </c>
      <c r="H38" s="45"/>
      <c r="I38" s="46">
        <v>14</v>
      </c>
      <c r="J38" s="47">
        <v>37941</v>
      </c>
      <c r="K38" s="48" t="s">
        <v>1336</v>
      </c>
    </row>
    <row r="39" ht="24" customHeight="1" spans="1:11">
      <c r="A39" s="42">
        <v>28</v>
      </c>
      <c r="B39" s="43" t="s">
        <v>1335</v>
      </c>
      <c r="C39" s="41" t="s">
        <v>1307</v>
      </c>
      <c r="D39" s="41" t="s">
        <v>1308</v>
      </c>
      <c r="E39" s="41" t="s">
        <v>1309</v>
      </c>
      <c r="F39" s="41"/>
      <c r="G39" s="44" t="s">
        <v>1304</v>
      </c>
      <c r="H39" s="45" t="s">
        <v>1305</v>
      </c>
      <c r="I39" s="46">
        <v>14</v>
      </c>
      <c r="J39" s="47">
        <v>37941</v>
      </c>
      <c r="K39" s="49"/>
    </row>
    <row r="40" ht="24" customHeight="1" spans="1:11">
      <c r="A40" s="42">
        <v>27</v>
      </c>
      <c r="B40" s="43" t="s">
        <v>1335</v>
      </c>
      <c r="C40" s="41" t="s">
        <v>322</v>
      </c>
      <c r="D40" s="41" t="s">
        <v>1302</v>
      </c>
      <c r="E40" s="41" t="s">
        <v>1316</v>
      </c>
      <c r="F40" s="41"/>
      <c r="G40" s="51" t="s">
        <v>1317</v>
      </c>
      <c r="H40" s="45"/>
      <c r="I40" s="46">
        <v>14</v>
      </c>
      <c r="J40" s="47">
        <v>37941</v>
      </c>
      <c r="K40" s="50"/>
    </row>
    <row r="41" ht="24" customHeight="1" spans="1:11">
      <c r="A41" s="42">
        <v>29</v>
      </c>
      <c r="B41" s="53" t="s">
        <v>1337</v>
      </c>
      <c r="C41" s="41" t="s">
        <v>13</v>
      </c>
      <c r="D41" s="41" t="s">
        <v>1302</v>
      </c>
      <c r="E41" s="41" t="s">
        <v>1303</v>
      </c>
      <c r="F41" s="41"/>
      <c r="G41" s="51" t="s">
        <v>1312</v>
      </c>
      <c r="H41" s="45" t="s">
        <v>1305</v>
      </c>
      <c r="I41" s="46">
        <v>67.31</v>
      </c>
      <c r="J41" s="47">
        <v>37941</v>
      </c>
      <c r="K41" s="48" t="s">
        <v>1338</v>
      </c>
    </row>
    <row r="42" ht="24" customHeight="1" spans="1:11">
      <c r="A42" s="42">
        <v>30</v>
      </c>
      <c r="B42" s="53" t="s">
        <v>1337</v>
      </c>
      <c r="C42" s="41" t="s">
        <v>1307</v>
      </c>
      <c r="D42" s="41" t="s">
        <v>1308</v>
      </c>
      <c r="E42" s="41" t="s">
        <v>1309</v>
      </c>
      <c r="F42" s="41"/>
      <c r="G42" s="51" t="s">
        <v>1312</v>
      </c>
      <c r="H42" s="45" t="s">
        <v>1305</v>
      </c>
      <c r="I42" s="46">
        <v>67.31</v>
      </c>
      <c r="J42" s="47">
        <v>37941</v>
      </c>
      <c r="K42" s="49"/>
    </row>
    <row r="43" ht="24" customHeight="1" spans="1:11">
      <c r="A43" s="52">
        <v>30</v>
      </c>
      <c r="B43" s="53" t="s">
        <v>1337</v>
      </c>
      <c r="C43" s="41" t="s">
        <v>322</v>
      </c>
      <c r="D43" s="41" t="s">
        <v>1302</v>
      </c>
      <c r="E43" s="41" t="s">
        <v>1303</v>
      </c>
      <c r="F43" s="41"/>
      <c r="G43" s="51" t="s">
        <v>1312</v>
      </c>
      <c r="H43" s="45" t="s">
        <v>1305</v>
      </c>
      <c r="I43" s="46">
        <v>67.31</v>
      </c>
      <c r="J43" s="47">
        <v>37941</v>
      </c>
      <c r="K43" s="50"/>
    </row>
    <row r="44" ht="24" customHeight="1" spans="1:11">
      <c r="A44" s="42">
        <v>33</v>
      </c>
      <c r="B44" s="54" t="s">
        <v>1339</v>
      </c>
      <c r="C44" s="41" t="s">
        <v>13</v>
      </c>
      <c r="D44" s="41" t="s">
        <v>1302</v>
      </c>
      <c r="E44" s="41" t="s">
        <v>1303</v>
      </c>
      <c r="F44" s="41"/>
      <c r="G44" s="44" t="s">
        <v>1304</v>
      </c>
      <c r="H44" s="45" t="s">
        <v>1305</v>
      </c>
      <c r="I44" s="55">
        <v>67.31</v>
      </c>
      <c r="J44" s="47">
        <v>37941</v>
      </c>
      <c r="K44" s="48" t="s">
        <v>1340</v>
      </c>
    </row>
    <row r="45" ht="24" customHeight="1" spans="1:11">
      <c r="A45" s="42"/>
      <c r="B45" s="54" t="s">
        <v>1339</v>
      </c>
      <c r="C45" s="41" t="s">
        <v>1307</v>
      </c>
      <c r="D45" s="41" t="s">
        <v>1308</v>
      </c>
      <c r="E45" s="41" t="s">
        <v>1309</v>
      </c>
      <c r="F45" s="41"/>
      <c r="G45" s="44" t="s">
        <v>1304</v>
      </c>
      <c r="H45" s="45" t="s">
        <v>1305</v>
      </c>
      <c r="I45" s="55">
        <v>67.31</v>
      </c>
      <c r="J45" s="47">
        <v>37941</v>
      </c>
      <c r="K45" s="49"/>
    </row>
    <row r="46" ht="24" customHeight="1" spans="1:11">
      <c r="A46" s="42">
        <v>34</v>
      </c>
      <c r="B46" s="54" t="s">
        <v>1339</v>
      </c>
      <c r="C46" s="41" t="s">
        <v>322</v>
      </c>
      <c r="D46" s="41" t="s">
        <v>1302</v>
      </c>
      <c r="E46" s="41" t="s">
        <v>1303</v>
      </c>
      <c r="F46" s="41"/>
      <c r="G46" s="44" t="s">
        <v>1304</v>
      </c>
      <c r="H46" s="45" t="s">
        <v>1305</v>
      </c>
      <c r="I46" s="55">
        <v>67.31</v>
      </c>
      <c r="J46" s="47">
        <v>37941</v>
      </c>
      <c r="K46" s="50"/>
    </row>
    <row r="47" ht="24" customHeight="1" spans="1:11">
      <c r="A47" s="42">
        <v>35</v>
      </c>
      <c r="B47" s="54" t="s">
        <v>1341</v>
      </c>
      <c r="C47" s="41" t="s">
        <v>13</v>
      </c>
      <c r="D47" s="41" t="s">
        <v>1302</v>
      </c>
      <c r="E47" s="41" t="s">
        <v>1303</v>
      </c>
      <c r="F47" s="41"/>
      <c r="G47" s="44" t="s">
        <v>1304</v>
      </c>
      <c r="H47" s="45" t="s">
        <v>1305</v>
      </c>
      <c r="I47" s="55">
        <v>42.5</v>
      </c>
      <c r="J47" s="47">
        <v>37941</v>
      </c>
      <c r="K47" s="48" t="s">
        <v>1342</v>
      </c>
    </row>
    <row r="48" ht="24" customHeight="1" spans="1:11">
      <c r="A48" s="42"/>
      <c r="B48" s="54" t="s">
        <v>1341</v>
      </c>
      <c r="C48" s="41" t="s">
        <v>1307</v>
      </c>
      <c r="D48" s="41" t="s">
        <v>1308</v>
      </c>
      <c r="E48" s="41" t="s">
        <v>1309</v>
      </c>
      <c r="F48" s="41"/>
      <c r="G48" s="44" t="s">
        <v>1304</v>
      </c>
      <c r="H48" s="45" t="s">
        <v>1305</v>
      </c>
      <c r="I48" s="55">
        <v>42.5</v>
      </c>
      <c r="J48" s="47">
        <v>37941</v>
      </c>
      <c r="K48" s="49"/>
    </row>
    <row r="49" ht="24" customHeight="1" spans="1:11">
      <c r="A49" s="42">
        <v>36</v>
      </c>
      <c r="B49" s="54" t="s">
        <v>1341</v>
      </c>
      <c r="C49" s="41" t="s">
        <v>322</v>
      </c>
      <c r="D49" s="41" t="s">
        <v>1302</v>
      </c>
      <c r="E49" s="41" t="s">
        <v>1303</v>
      </c>
      <c r="F49" s="41"/>
      <c r="G49" s="44" t="s">
        <v>1304</v>
      </c>
      <c r="H49" s="45" t="s">
        <v>1305</v>
      </c>
      <c r="I49" s="55">
        <v>42.5</v>
      </c>
      <c r="J49" s="47">
        <v>37941</v>
      </c>
      <c r="K49" s="50"/>
    </row>
    <row r="50" ht="24" customHeight="1" spans="1:11">
      <c r="A50" s="42">
        <v>37</v>
      </c>
      <c r="B50" s="54" t="s">
        <v>1343</v>
      </c>
      <c r="C50" s="41" t="s">
        <v>13</v>
      </c>
      <c r="D50" s="41" t="s">
        <v>1302</v>
      </c>
      <c r="E50" s="41" t="s">
        <v>1303</v>
      </c>
      <c r="F50" s="41"/>
      <c r="G50" s="44" t="s">
        <v>1304</v>
      </c>
      <c r="H50" s="45" t="s">
        <v>1305</v>
      </c>
      <c r="I50" s="55">
        <v>66.54</v>
      </c>
      <c r="J50" s="47">
        <v>37941</v>
      </c>
      <c r="K50" s="48" t="s">
        <v>1344</v>
      </c>
    </row>
    <row r="51" ht="24" customHeight="1" spans="1:11">
      <c r="A51" s="42">
        <v>38</v>
      </c>
      <c r="B51" s="54" t="s">
        <v>1343</v>
      </c>
      <c r="C51" s="41" t="s">
        <v>1307</v>
      </c>
      <c r="D51" s="41" t="s">
        <v>1308</v>
      </c>
      <c r="E51" s="41" t="s">
        <v>1309</v>
      </c>
      <c r="F51" s="41"/>
      <c r="G51" s="44" t="s">
        <v>1304</v>
      </c>
      <c r="H51" s="45" t="s">
        <v>1305</v>
      </c>
      <c r="I51" s="55">
        <v>66.54</v>
      </c>
      <c r="J51" s="47">
        <v>37941</v>
      </c>
      <c r="K51" s="49"/>
    </row>
    <row r="52" ht="24" customHeight="1" spans="1:11">
      <c r="A52" s="42"/>
      <c r="B52" s="54" t="s">
        <v>1343</v>
      </c>
      <c r="C52" s="41" t="s">
        <v>322</v>
      </c>
      <c r="D52" s="41" t="s">
        <v>1302</v>
      </c>
      <c r="E52" s="41" t="s">
        <v>1303</v>
      </c>
      <c r="F52" s="41"/>
      <c r="G52" s="44" t="s">
        <v>1304</v>
      </c>
      <c r="H52" s="45" t="s">
        <v>1305</v>
      </c>
      <c r="I52" s="55">
        <v>66.54</v>
      </c>
      <c r="J52" s="47">
        <v>37941</v>
      </c>
      <c r="K52" s="50"/>
    </row>
    <row r="53" ht="24" customHeight="1" spans="1:11">
      <c r="A53" s="42">
        <v>40</v>
      </c>
      <c r="B53" s="54" t="s">
        <v>1345</v>
      </c>
      <c r="C53" s="41" t="s">
        <v>13</v>
      </c>
      <c r="D53" s="41" t="s">
        <v>1302</v>
      </c>
      <c r="E53" s="41" t="s">
        <v>1303</v>
      </c>
      <c r="F53" s="41"/>
      <c r="G53" s="44" t="s">
        <v>1304</v>
      </c>
      <c r="H53" s="45" t="s">
        <v>1305</v>
      </c>
      <c r="I53" s="55">
        <v>20</v>
      </c>
      <c r="J53" s="47">
        <v>37941</v>
      </c>
      <c r="K53" s="48" t="s">
        <v>1346</v>
      </c>
    </row>
    <row r="54" ht="24" customHeight="1" spans="1:11">
      <c r="A54" s="42">
        <v>41</v>
      </c>
      <c r="B54" s="54" t="s">
        <v>1345</v>
      </c>
      <c r="C54" s="41" t="s">
        <v>322</v>
      </c>
      <c r="D54" s="41" t="s">
        <v>1302</v>
      </c>
      <c r="E54" s="41" t="s">
        <v>1303</v>
      </c>
      <c r="F54" s="41"/>
      <c r="G54" s="44" t="s">
        <v>1304</v>
      </c>
      <c r="H54" s="45" t="s">
        <v>1305</v>
      </c>
      <c r="I54" s="55">
        <v>20</v>
      </c>
      <c r="J54" s="47">
        <v>37941</v>
      </c>
      <c r="K54" s="49"/>
    </row>
    <row r="55" ht="24" customHeight="1" spans="1:11">
      <c r="A55" s="42">
        <v>42</v>
      </c>
      <c r="B55" s="54" t="s">
        <v>1347</v>
      </c>
      <c r="C55" s="41" t="s">
        <v>13</v>
      </c>
      <c r="D55" s="41" t="s">
        <v>1302</v>
      </c>
      <c r="E55" s="41" t="s">
        <v>1303</v>
      </c>
      <c r="F55" s="41"/>
      <c r="G55" s="44" t="s">
        <v>1304</v>
      </c>
      <c r="H55" s="45" t="s">
        <v>1305</v>
      </c>
      <c r="I55" s="55">
        <v>53.54</v>
      </c>
      <c r="J55" s="47">
        <v>37941</v>
      </c>
      <c r="K55" s="48" t="s">
        <v>1348</v>
      </c>
    </row>
    <row r="56" ht="24" customHeight="1" spans="1:11">
      <c r="A56" s="42">
        <v>43</v>
      </c>
      <c r="B56" s="54" t="s">
        <v>1347</v>
      </c>
      <c r="C56" s="41" t="s">
        <v>1307</v>
      </c>
      <c r="D56" s="41" t="s">
        <v>1308</v>
      </c>
      <c r="E56" s="41" t="s">
        <v>1309</v>
      </c>
      <c r="F56" s="41"/>
      <c r="G56" s="44" t="s">
        <v>1304</v>
      </c>
      <c r="H56" s="45" t="s">
        <v>1305</v>
      </c>
      <c r="I56" s="55">
        <v>53.54</v>
      </c>
      <c r="J56" s="47">
        <v>37941</v>
      </c>
      <c r="K56" s="49"/>
    </row>
    <row r="57" ht="24" customHeight="1" spans="1:11">
      <c r="A57" s="42"/>
      <c r="B57" s="54" t="s">
        <v>1347</v>
      </c>
      <c r="C57" s="41" t="s">
        <v>322</v>
      </c>
      <c r="D57" s="41" t="s">
        <v>1302</v>
      </c>
      <c r="E57" s="41" t="s">
        <v>1303</v>
      </c>
      <c r="F57" s="41"/>
      <c r="G57" s="44" t="s">
        <v>1304</v>
      </c>
      <c r="H57" s="45" t="s">
        <v>1305</v>
      </c>
      <c r="I57" s="55">
        <v>53.54</v>
      </c>
      <c r="J57" s="47">
        <v>37941</v>
      </c>
      <c r="K57" s="50"/>
    </row>
    <row r="58" ht="24" customHeight="1" spans="1:11">
      <c r="A58" s="42">
        <v>45</v>
      </c>
      <c r="B58" s="54" t="s">
        <v>1349</v>
      </c>
      <c r="C58" s="41" t="s">
        <v>13</v>
      </c>
      <c r="D58" s="41" t="s">
        <v>1302</v>
      </c>
      <c r="E58" s="41" t="s">
        <v>1303</v>
      </c>
      <c r="F58" s="41"/>
      <c r="G58" s="44" t="s">
        <v>1304</v>
      </c>
      <c r="H58" s="45" t="s">
        <v>1305</v>
      </c>
      <c r="I58" s="46">
        <v>51.18</v>
      </c>
      <c r="J58" s="47">
        <v>37941</v>
      </c>
      <c r="K58" s="48" t="s">
        <v>1350</v>
      </c>
    </row>
    <row r="59" ht="24" customHeight="1" spans="1:11">
      <c r="A59" s="42">
        <v>46</v>
      </c>
      <c r="B59" s="54" t="s">
        <v>1351</v>
      </c>
      <c r="C59" s="41" t="s">
        <v>1307</v>
      </c>
      <c r="D59" s="41" t="s">
        <v>1308</v>
      </c>
      <c r="E59" s="41" t="s">
        <v>1309</v>
      </c>
      <c r="F59" s="41"/>
      <c r="G59" s="44" t="s">
        <v>1304</v>
      </c>
      <c r="H59" s="45" t="s">
        <v>1305</v>
      </c>
      <c r="I59" s="46">
        <v>51.18</v>
      </c>
      <c r="J59" s="47">
        <v>37941</v>
      </c>
      <c r="K59" s="49"/>
    </row>
    <row r="60" ht="24" customHeight="1" spans="1:11">
      <c r="A60" s="42"/>
      <c r="B60" s="54" t="s">
        <v>1351</v>
      </c>
      <c r="C60" s="41" t="s">
        <v>322</v>
      </c>
      <c r="D60" s="41" t="s">
        <v>1302</v>
      </c>
      <c r="E60" s="41" t="s">
        <v>1303</v>
      </c>
      <c r="F60" s="41"/>
      <c r="G60" s="44" t="s">
        <v>1304</v>
      </c>
      <c r="H60" s="45" t="s">
        <v>1305</v>
      </c>
      <c r="I60" s="46">
        <v>51.18</v>
      </c>
      <c r="J60" s="47">
        <v>37941</v>
      </c>
      <c r="K60" s="50"/>
    </row>
    <row r="61" ht="24" customHeight="1" spans="1:11">
      <c r="A61" s="42">
        <v>47</v>
      </c>
      <c r="B61" s="54" t="s">
        <v>1352</v>
      </c>
      <c r="C61" s="41" t="s">
        <v>13</v>
      </c>
      <c r="D61" s="41" t="s">
        <v>1302</v>
      </c>
      <c r="E61" s="41" t="s">
        <v>1303</v>
      </c>
      <c r="F61" s="41"/>
      <c r="G61" s="44" t="s">
        <v>1304</v>
      </c>
      <c r="H61" s="45" t="s">
        <v>1305</v>
      </c>
      <c r="I61" s="46">
        <v>64</v>
      </c>
      <c r="J61" s="47">
        <v>37941</v>
      </c>
      <c r="K61" s="48" t="s">
        <v>1353</v>
      </c>
    </row>
    <row r="62" ht="24" customHeight="1" spans="1:11">
      <c r="A62" s="42">
        <v>48</v>
      </c>
      <c r="B62" s="54" t="s">
        <v>1352</v>
      </c>
      <c r="C62" s="41" t="s">
        <v>1307</v>
      </c>
      <c r="D62" s="41" t="s">
        <v>1308</v>
      </c>
      <c r="E62" s="41" t="s">
        <v>1309</v>
      </c>
      <c r="F62" s="41"/>
      <c r="G62" s="44" t="s">
        <v>1304</v>
      </c>
      <c r="H62" s="45" t="s">
        <v>1305</v>
      </c>
      <c r="I62" s="46">
        <v>64</v>
      </c>
      <c r="J62" s="47">
        <v>37941</v>
      </c>
      <c r="K62" s="49"/>
    </row>
    <row r="63" ht="24" customHeight="1" spans="1:11">
      <c r="A63" s="42"/>
      <c r="B63" s="54" t="s">
        <v>1352</v>
      </c>
      <c r="C63" s="41" t="s">
        <v>322</v>
      </c>
      <c r="D63" s="41" t="s">
        <v>1302</v>
      </c>
      <c r="E63" s="41" t="s">
        <v>1303</v>
      </c>
      <c r="F63" s="41"/>
      <c r="G63" s="44" t="s">
        <v>1304</v>
      </c>
      <c r="H63" s="45" t="s">
        <v>1305</v>
      </c>
      <c r="I63" s="46">
        <v>64</v>
      </c>
      <c r="J63" s="47">
        <v>37941</v>
      </c>
      <c r="K63" s="50"/>
    </row>
    <row r="64" ht="24" customHeight="1" spans="1:11">
      <c r="A64" s="42">
        <v>49</v>
      </c>
      <c r="B64" s="56" t="s">
        <v>1354</v>
      </c>
      <c r="C64" s="19" t="s">
        <v>13</v>
      </c>
      <c r="D64" s="19" t="s">
        <v>1302</v>
      </c>
      <c r="E64" s="41" t="s">
        <v>1303</v>
      </c>
      <c r="F64" s="19"/>
      <c r="G64" s="57" t="s">
        <v>1304</v>
      </c>
      <c r="H64" s="58" t="s">
        <v>1305</v>
      </c>
      <c r="I64" s="59">
        <v>426</v>
      </c>
      <c r="J64" s="60">
        <v>37941</v>
      </c>
      <c r="K64" s="61" t="s">
        <v>1355</v>
      </c>
    </row>
    <row r="65" ht="24" customHeight="1" spans="1:11">
      <c r="A65" s="42">
        <v>50</v>
      </c>
      <c r="B65" s="56" t="s">
        <v>1354</v>
      </c>
      <c r="C65" s="19" t="s">
        <v>1307</v>
      </c>
      <c r="D65" s="19" t="s">
        <v>1308</v>
      </c>
      <c r="E65" s="41" t="s">
        <v>1309</v>
      </c>
      <c r="F65" s="19"/>
      <c r="G65" s="62" t="s">
        <v>1312</v>
      </c>
      <c r="H65" s="58" t="s">
        <v>1305</v>
      </c>
      <c r="I65" s="59">
        <v>426</v>
      </c>
      <c r="J65" s="60">
        <v>37941</v>
      </c>
      <c r="K65" s="63"/>
    </row>
    <row r="66" ht="24" customHeight="1" spans="1:11">
      <c r="A66" s="42"/>
      <c r="B66" s="56" t="s">
        <v>1354</v>
      </c>
      <c r="C66" s="19" t="s">
        <v>322</v>
      </c>
      <c r="D66" s="19" t="s">
        <v>1302</v>
      </c>
      <c r="E66" s="41" t="s">
        <v>1303</v>
      </c>
      <c r="F66" s="19"/>
      <c r="G66" s="57" t="s">
        <v>1304</v>
      </c>
      <c r="H66" s="58" t="s">
        <v>1305</v>
      </c>
      <c r="I66" s="59">
        <v>426</v>
      </c>
      <c r="J66" s="60">
        <v>37941</v>
      </c>
      <c r="K66" s="64"/>
    </row>
    <row r="67" ht="24" customHeight="1" spans="1:11">
      <c r="A67" s="42">
        <v>51</v>
      </c>
      <c r="B67" s="54" t="s">
        <v>1356</v>
      </c>
      <c r="C67" s="41" t="s">
        <v>13</v>
      </c>
      <c r="D67" s="41" t="s">
        <v>1302</v>
      </c>
      <c r="E67" s="41" t="s">
        <v>1316</v>
      </c>
      <c r="F67" s="41"/>
      <c r="G67" s="51" t="s">
        <v>1317</v>
      </c>
      <c r="H67" s="45"/>
      <c r="I67" s="46">
        <v>26</v>
      </c>
      <c r="J67" s="47">
        <v>37941</v>
      </c>
      <c r="K67" s="65" t="s">
        <v>1357</v>
      </c>
    </row>
    <row r="68" ht="24" customHeight="1" spans="1:11">
      <c r="A68" s="42">
        <v>52</v>
      </c>
      <c r="B68" s="54" t="s">
        <v>1358</v>
      </c>
      <c r="C68" s="41" t="s">
        <v>1307</v>
      </c>
      <c r="D68" s="41" t="s">
        <v>1308</v>
      </c>
      <c r="E68" s="41" t="s">
        <v>1359</v>
      </c>
      <c r="F68" s="41"/>
      <c r="G68" s="51" t="s">
        <v>1317</v>
      </c>
      <c r="H68" s="45"/>
      <c r="I68" s="46">
        <v>26</v>
      </c>
      <c r="J68" s="47">
        <v>37941</v>
      </c>
      <c r="K68" s="66"/>
    </row>
    <row r="69" ht="24" customHeight="1" spans="1:11">
      <c r="A69" s="42"/>
      <c r="B69" s="54" t="s">
        <v>1358</v>
      </c>
      <c r="C69" s="41" t="s">
        <v>322</v>
      </c>
      <c r="D69" s="41" t="s">
        <v>1302</v>
      </c>
      <c r="E69" s="41" t="s">
        <v>1316</v>
      </c>
      <c r="F69" s="41"/>
      <c r="G69" s="51" t="s">
        <v>1317</v>
      </c>
      <c r="H69" s="45"/>
      <c r="I69" s="46">
        <v>26</v>
      </c>
      <c r="J69" s="47">
        <v>37941</v>
      </c>
      <c r="K69" s="67"/>
    </row>
    <row r="70" ht="24" customHeight="1" spans="1:11">
      <c r="A70" s="42">
        <v>53</v>
      </c>
      <c r="B70" s="54" t="s">
        <v>1360</v>
      </c>
      <c r="C70" s="41" t="s">
        <v>13</v>
      </c>
      <c r="D70" s="41" t="s">
        <v>1302</v>
      </c>
      <c r="E70" s="41" t="s">
        <v>1303</v>
      </c>
      <c r="F70" s="41"/>
      <c r="G70" s="44" t="s">
        <v>1304</v>
      </c>
      <c r="H70" s="45" t="s">
        <v>1305</v>
      </c>
      <c r="I70" s="46">
        <v>56.24</v>
      </c>
      <c r="J70" s="47">
        <v>37941</v>
      </c>
      <c r="K70" s="65" t="s">
        <v>1361</v>
      </c>
    </row>
    <row r="71" ht="24" customHeight="1" spans="1:11">
      <c r="A71" s="42">
        <v>54</v>
      </c>
      <c r="B71" s="54" t="s">
        <v>1362</v>
      </c>
      <c r="C71" s="41" t="s">
        <v>1307</v>
      </c>
      <c r="D71" s="41" t="s">
        <v>1308</v>
      </c>
      <c r="E71" s="41" t="s">
        <v>1309</v>
      </c>
      <c r="F71" s="41"/>
      <c r="G71" s="51" t="s">
        <v>1312</v>
      </c>
      <c r="H71" s="45" t="s">
        <v>1305</v>
      </c>
      <c r="I71" s="46">
        <v>56.24</v>
      </c>
      <c r="J71" s="47">
        <v>37941</v>
      </c>
      <c r="K71" s="66"/>
    </row>
    <row r="72" ht="24" customHeight="1" spans="1:11">
      <c r="A72" s="42"/>
      <c r="B72" s="54" t="s">
        <v>1362</v>
      </c>
      <c r="C72" s="41" t="s">
        <v>322</v>
      </c>
      <c r="D72" s="41" t="s">
        <v>1302</v>
      </c>
      <c r="E72" s="41" t="s">
        <v>1303</v>
      </c>
      <c r="F72" s="41"/>
      <c r="G72" s="44" t="s">
        <v>1304</v>
      </c>
      <c r="H72" s="45" t="s">
        <v>1305</v>
      </c>
      <c r="I72" s="46">
        <v>56.24</v>
      </c>
      <c r="J72" s="47">
        <v>37941</v>
      </c>
      <c r="K72" s="67"/>
    </row>
    <row r="73" ht="24" customHeight="1" spans="1:11">
      <c r="A73" s="42">
        <v>55</v>
      </c>
      <c r="B73" s="54" t="s">
        <v>1363</v>
      </c>
      <c r="C73" s="41" t="s">
        <v>13</v>
      </c>
      <c r="D73" s="41" t="s">
        <v>1302</v>
      </c>
      <c r="E73" s="41" t="s">
        <v>1303</v>
      </c>
      <c r="F73" s="41"/>
      <c r="G73" s="44" t="s">
        <v>1304</v>
      </c>
      <c r="H73" s="45" t="s">
        <v>1305</v>
      </c>
      <c r="I73" s="46">
        <v>97.6</v>
      </c>
      <c r="J73" s="47">
        <v>37941</v>
      </c>
      <c r="K73" s="65" t="s">
        <v>1364</v>
      </c>
    </row>
    <row r="74" ht="24" customHeight="1" spans="1:11">
      <c r="A74" s="42">
        <v>56</v>
      </c>
      <c r="B74" s="54" t="s">
        <v>1365</v>
      </c>
      <c r="C74" s="41" t="s">
        <v>1307</v>
      </c>
      <c r="D74" s="41" t="s">
        <v>1308</v>
      </c>
      <c r="E74" s="41" t="s">
        <v>1309</v>
      </c>
      <c r="F74" s="41"/>
      <c r="G74" s="44" t="s">
        <v>1304</v>
      </c>
      <c r="H74" s="45" t="s">
        <v>1305</v>
      </c>
      <c r="I74" s="46">
        <v>98.4</v>
      </c>
      <c r="J74" s="47">
        <v>37941</v>
      </c>
      <c r="K74" s="66"/>
    </row>
    <row r="75" ht="24" customHeight="1" spans="1:11">
      <c r="A75" s="42"/>
      <c r="B75" s="54" t="s">
        <v>1365</v>
      </c>
      <c r="C75" s="41" t="s">
        <v>322</v>
      </c>
      <c r="D75" s="41" t="s">
        <v>1302</v>
      </c>
      <c r="E75" s="41" t="s">
        <v>1303</v>
      </c>
      <c r="F75" s="41"/>
      <c r="G75" s="44" t="s">
        <v>1304</v>
      </c>
      <c r="H75" s="45" t="s">
        <v>1305</v>
      </c>
      <c r="I75" s="46">
        <v>98.4</v>
      </c>
      <c r="J75" s="47">
        <v>37941</v>
      </c>
      <c r="K75" s="67"/>
    </row>
    <row r="76" ht="36" customHeight="1" spans="1:11">
      <c r="A76" s="42">
        <v>57</v>
      </c>
      <c r="B76" s="68" t="s">
        <v>1366</v>
      </c>
      <c r="C76" s="41" t="s">
        <v>1367</v>
      </c>
      <c r="D76" s="41" t="s">
        <v>1302</v>
      </c>
      <c r="E76" s="41" t="s">
        <v>1303</v>
      </c>
      <c r="F76" s="41"/>
      <c r="G76" s="44" t="s">
        <v>1304</v>
      </c>
      <c r="H76" s="45" t="s">
        <v>1305</v>
      </c>
      <c r="I76" s="46">
        <v>86.4</v>
      </c>
      <c r="J76" s="47">
        <v>37941</v>
      </c>
      <c r="K76" s="41" t="s">
        <v>1368</v>
      </c>
    </row>
    <row r="77" ht="24" customHeight="1" spans="1:11">
      <c r="A77" s="42">
        <v>58</v>
      </c>
      <c r="B77" s="54" t="s">
        <v>1369</v>
      </c>
      <c r="C77" s="41" t="s">
        <v>13</v>
      </c>
      <c r="D77" s="41" t="s">
        <v>1302</v>
      </c>
      <c r="E77" s="41" t="s">
        <v>1303</v>
      </c>
      <c r="F77" s="41"/>
      <c r="G77" s="51" t="s">
        <v>1312</v>
      </c>
      <c r="H77" s="45" t="s">
        <v>1305</v>
      </c>
      <c r="I77" s="46">
        <v>26.36</v>
      </c>
      <c r="J77" s="47">
        <v>37941</v>
      </c>
      <c r="K77" s="65" t="s">
        <v>1370</v>
      </c>
    </row>
    <row r="78" ht="24" customHeight="1" spans="1:11">
      <c r="A78" s="42">
        <v>59</v>
      </c>
      <c r="B78" s="54" t="s">
        <v>1371</v>
      </c>
      <c r="C78" s="41" t="s">
        <v>1307</v>
      </c>
      <c r="D78" s="41" t="s">
        <v>1308</v>
      </c>
      <c r="E78" s="41" t="s">
        <v>1309</v>
      </c>
      <c r="F78" s="41"/>
      <c r="G78" s="44" t="s">
        <v>1304</v>
      </c>
      <c r="H78" s="45" t="s">
        <v>1305</v>
      </c>
      <c r="I78" s="46">
        <v>26.36</v>
      </c>
      <c r="J78" s="47">
        <v>37941</v>
      </c>
      <c r="K78" s="66"/>
    </row>
    <row r="79" ht="24" customHeight="1" spans="1:11">
      <c r="A79" s="42"/>
      <c r="B79" s="54" t="s">
        <v>1371</v>
      </c>
      <c r="C79" s="41" t="s">
        <v>322</v>
      </c>
      <c r="D79" s="41" t="s">
        <v>1302</v>
      </c>
      <c r="E79" s="41" t="s">
        <v>1303</v>
      </c>
      <c r="F79" s="41"/>
      <c r="G79" s="44" t="s">
        <v>1304</v>
      </c>
      <c r="H79" s="45" t="s">
        <v>1305</v>
      </c>
      <c r="I79" s="46">
        <v>26.36</v>
      </c>
      <c r="J79" s="47">
        <v>37941</v>
      </c>
      <c r="K79" s="67"/>
    </row>
    <row r="80" ht="24" customHeight="1" spans="1:11">
      <c r="A80" s="42">
        <v>60</v>
      </c>
      <c r="B80" s="54" t="s">
        <v>1372</v>
      </c>
      <c r="C80" s="41" t="s">
        <v>13</v>
      </c>
      <c r="D80" s="41" t="s">
        <v>1302</v>
      </c>
      <c r="E80" s="41" t="s">
        <v>1303</v>
      </c>
      <c r="F80" s="41"/>
      <c r="G80" s="51" t="s">
        <v>1312</v>
      </c>
      <c r="H80" s="45" t="s">
        <v>1305</v>
      </c>
      <c r="I80" s="46">
        <v>32</v>
      </c>
      <c r="J80" s="47">
        <v>37941</v>
      </c>
      <c r="K80" s="65" t="s">
        <v>1373</v>
      </c>
    </row>
    <row r="81" ht="24" customHeight="1" spans="1:11">
      <c r="A81" s="42">
        <v>61</v>
      </c>
      <c r="B81" s="54" t="s">
        <v>1374</v>
      </c>
      <c r="C81" s="41" t="s">
        <v>1307</v>
      </c>
      <c r="D81" s="41" t="s">
        <v>1308</v>
      </c>
      <c r="E81" s="41" t="s">
        <v>1359</v>
      </c>
      <c r="F81" s="41"/>
      <c r="G81" s="51" t="s">
        <v>1317</v>
      </c>
      <c r="H81" s="45"/>
      <c r="I81" s="46">
        <v>32</v>
      </c>
      <c r="J81" s="47">
        <v>37941</v>
      </c>
      <c r="K81" s="66"/>
    </row>
    <row r="82" ht="24" customHeight="1" spans="1:11">
      <c r="A82" s="42"/>
      <c r="B82" s="54" t="s">
        <v>1374</v>
      </c>
      <c r="C82" s="41" t="s">
        <v>322</v>
      </c>
      <c r="D82" s="41" t="s">
        <v>1302</v>
      </c>
      <c r="E82" s="41" t="s">
        <v>1316</v>
      </c>
      <c r="F82" s="41"/>
      <c r="G82" s="51" t="s">
        <v>1317</v>
      </c>
      <c r="H82" s="45"/>
      <c r="I82" s="46">
        <v>32</v>
      </c>
      <c r="J82" s="47">
        <v>37941</v>
      </c>
      <c r="K82" s="67"/>
    </row>
    <row r="83" ht="24" customHeight="1" spans="1:11">
      <c r="A83" s="42">
        <v>62</v>
      </c>
      <c r="B83" s="54" t="s">
        <v>1375</v>
      </c>
      <c r="C83" s="41" t="s">
        <v>13</v>
      </c>
      <c r="D83" s="41" t="s">
        <v>1302</v>
      </c>
      <c r="E83" s="41" t="s">
        <v>1316</v>
      </c>
      <c r="F83" s="41"/>
      <c r="G83" s="51" t="s">
        <v>1317</v>
      </c>
      <c r="H83" s="45"/>
      <c r="I83" s="46">
        <v>24</v>
      </c>
      <c r="J83" s="47">
        <v>37941</v>
      </c>
      <c r="K83" s="65" t="s">
        <v>1376</v>
      </c>
    </row>
    <row r="84" ht="24" customHeight="1" spans="1:11">
      <c r="A84" s="42">
        <v>63</v>
      </c>
      <c r="B84" s="54" t="s">
        <v>1377</v>
      </c>
      <c r="C84" s="41" t="s">
        <v>322</v>
      </c>
      <c r="D84" s="41" t="s">
        <v>1302</v>
      </c>
      <c r="E84" s="41" t="s">
        <v>1316</v>
      </c>
      <c r="F84" s="41"/>
      <c r="G84" s="51" t="s">
        <v>1317</v>
      </c>
      <c r="H84" s="45"/>
      <c r="I84" s="46">
        <v>24</v>
      </c>
      <c r="J84" s="47">
        <v>37941</v>
      </c>
      <c r="K84" s="67"/>
    </row>
    <row r="85" ht="24" customHeight="1" spans="1:11">
      <c r="A85" s="42">
        <v>64</v>
      </c>
      <c r="B85" s="54" t="s">
        <v>1378</v>
      </c>
      <c r="C85" s="41" t="s">
        <v>13</v>
      </c>
      <c r="D85" s="41" t="s">
        <v>1302</v>
      </c>
      <c r="E85" s="41" t="s">
        <v>1303</v>
      </c>
      <c r="F85" s="41"/>
      <c r="G85" s="44" t="s">
        <v>1304</v>
      </c>
      <c r="H85" s="45" t="s">
        <v>1305</v>
      </c>
      <c r="I85" s="46">
        <v>1100.26</v>
      </c>
      <c r="J85" s="47">
        <v>37941</v>
      </c>
      <c r="K85" s="65" t="s">
        <v>1379</v>
      </c>
    </row>
    <row r="86" ht="24" customHeight="1" spans="1:11">
      <c r="A86" s="42">
        <v>65</v>
      </c>
      <c r="B86" s="54" t="s">
        <v>1378</v>
      </c>
      <c r="C86" s="41" t="s">
        <v>1307</v>
      </c>
      <c r="D86" s="41" t="s">
        <v>1308</v>
      </c>
      <c r="E86" s="41" t="s">
        <v>1309</v>
      </c>
      <c r="F86" s="41"/>
      <c r="G86" s="51" t="s">
        <v>1312</v>
      </c>
      <c r="H86" s="45" t="s">
        <v>1305</v>
      </c>
      <c r="I86" s="46">
        <v>1100.26</v>
      </c>
      <c r="J86" s="47">
        <v>37941</v>
      </c>
      <c r="K86" s="66"/>
    </row>
    <row r="87" ht="24" customHeight="1" spans="1:11">
      <c r="A87" s="42"/>
      <c r="B87" s="54" t="s">
        <v>1378</v>
      </c>
      <c r="C87" s="41" t="s">
        <v>322</v>
      </c>
      <c r="D87" s="41" t="s">
        <v>1302</v>
      </c>
      <c r="E87" s="41" t="s">
        <v>1303</v>
      </c>
      <c r="F87" s="41"/>
      <c r="G87" s="44" t="s">
        <v>1304</v>
      </c>
      <c r="H87" s="45" t="s">
        <v>1305</v>
      </c>
      <c r="I87" s="46">
        <v>1100.26</v>
      </c>
      <c r="J87" s="47">
        <v>37941</v>
      </c>
      <c r="K87" s="67"/>
    </row>
    <row r="88" ht="24" customHeight="1" spans="1:11">
      <c r="A88" s="42">
        <v>66</v>
      </c>
      <c r="B88" s="54" t="s">
        <v>1380</v>
      </c>
      <c r="C88" s="41" t="s">
        <v>13</v>
      </c>
      <c r="D88" s="41" t="s">
        <v>1302</v>
      </c>
      <c r="E88" s="41" t="s">
        <v>1303</v>
      </c>
      <c r="F88" s="41"/>
      <c r="G88" s="44" t="s">
        <v>1304</v>
      </c>
      <c r="H88" s="45" t="s">
        <v>1305</v>
      </c>
      <c r="I88" s="46">
        <v>40.5</v>
      </c>
      <c r="J88" s="47">
        <v>37941</v>
      </c>
      <c r="K88" s="65" t="s">
        <v>1381</v>
      </c>
    </row>
    <row r="89" ht="24" customHeight="1" spans="1:11">
      <c r="A89" s="42">
        <v>67</v>
      </c>
      <c r="B89" s="54" t="s">
        <v>1382</v>
      </c>
      <c r="C89" s="41" t="s">
        <v>1307</v>
      </c>
      <c r="D89" s="41" t="s">
        <v>1308</v>
      </c>
      <c r="E89" s="41" t="s">
        <v>1309</v>
      </c>
      <c r="F89" s="41"/>
      <c r="G89" s="51" t="s">
        <v>1312</v>
      </c>
      <c r="H89" s="45" t="s">
        <v>1305</v>
      </c>
      <c r="I89" s="46">
        <v>40.5</v>
      </c>
      <c r="J89" s="47">
        <v>37941</v>
      </c>
      <c r="K89" s="66"/>
    </row>
    <row r="90" ht="24" customHeight="1" spans="1:11">
      <c r="A90" s="42"/>
      <c r="B90" s="54" t="s">
        <v>1382</v>
      </c>
      <c r="C90" s="41" t="s">
        <v>322</v>
      </c>
      <c r="D90" s="41" t="s">
        <v>1302</v>
      </c>
      <c r="E90" s="41" t="s">
        <v>1303</v>
      </c>
      <c r="F90" s="41"/>
      <c r="G90" s="44" t="s">
        <v>1304</v>
      </c>
      <c r="H90" s="45" t="s">
        <v>1305</v>
      </c>
      <c r="I90" s="46">
        <v>40.5</v>
      </c>
      <c r="J90" s="47">
        <v>37941</v>
      </c>
      <c r="K90" s="67"/>
    </row>
    <row r="91" ht="24" customHeight="1" spans="1:11">
      <c r="A91" s="42">
        <v>68</v>
      </c>
      <c r="B91" s="54" t="s">
        <v>1383</v>
      </c>
      <c r="C91" s="41" t="s">
        <v>13</v>
      </c>
      <c r="D91" s="41" t="s">
        <v>1302</v>
      </c>
      <c r="E91" s="41" t="s">
        <v>1303</v>
      </c>
      <c r="F91" s="41"/>
      <c r="G91" s="44" t="s">
        <v>1304</v>
      </c>
      <c r="H91" s="45" t="s">
        <v>1305</v>
      </c>
      <c r="I91" s="46">
        <v>72.06</v>
      </c>
      <c r="J91" s="47">
        <v>37941</v>
      </c>
      <c r="K91" s="65" t="s">
        <v>1384</v>
      </c>
    </row>
    <row r="92" ht="24" customHeight="1" spans="1:11">
      <c r="A92" s="42">
        <v>69</v>
      </c>
      <c r="B92" s="54" t="s">
        <v>1385</v>
      </c>
      <c r="C92" s="41" t="s">
        <v>1307</v>
      </c>
      <c r="D92" s="41" t="s">
        <v>1308</v>
      </c>
      <c r="E92" s="41" t="s">
        <v>1309</v>
      </c>
      <c r="F92" s="41"/>
      <c r="G92" s="51" t="s">
        <v>1312</v>
      </c>
      <c r="H92" s="45" t="s">
        <v>1305</v>
      </c>
      <c r="I92" s="46">
        <v>72.06</v>
      </c>
      <c r="J92" s="47">
        <v>37941</v>
      </c>
      <c r="K92" s="66"/>
    </row>
    <row r="93" ht="24" customHeight="1" spans="1:11">
      <c r="A93" s="42"/>
      <c r="B93" s="54" t="s">
        <v>1385</v>
      </c>
      <c r="C93" s="41" t="s">
        <v>322</v>
      </c>
      <c r="D93" s="41" t="s">
        <v>1302</v>
      </c>
      <c r="E93" s="41" t="s">
        <v>1303</v>
      </c>
      <c r="F93" s="41"/>
      <c r="G93" s="44" t="s">
        <v>1304</v>
      </c>
      <c r="H93" s="45" t="s">
        <v>1305</v>
      </c>
      <c r="I93" s="46">
        <v>72.06</v>
      </c>
      <c r="J93" s="47">
        <v>37941</v>
      </c>
      <c r="K93" s="67"/>
    </row>
    <row r="94" ht="24" customHeight="1" spans="1:11">
      <c r="A94" s="42">
        <v>70</v>
      </c>
      <c r="B94" s="54" t="s">
        <v>1386</v>
      </c>
      <c r="C94" s="41" t="s">
        <v>13</v>
      </c>
      <c r="D94" s="41" t="s">
        <v>1302</v>
      </c>
      <c r="E94" s="41" t="s">
        <v>1316</v>
      </c>
      <c r="F94" s="41"/>
      <c r="G94" s="51" t="s">
        <v>1317</v>
      </c>
      <c r="H94" s="45"/>
      <c r="I94" s="46">
        <v>32</v>
      </c>
      <c r="J94" s="47">
        <v>37941</v>
      </c>
      <c r="K94" s="65" t="s">
        <v>1387</v>
      </c>
    </row>
    <row r="95" ht="24" customHeight="1" spans="1:11">
      <c r="A95" s="42">
        <v>71</v>
      </c>
      <c r="B95" s="54" t="s">
        <v>1388</v>
      </c>
      <c r="C95" s="41" t="s">
        <v>1307</v>
      </c>
      <c r="D95" s="41" t="s">
        <v>1308</v>
      </c>
      <c r="E95" s="41" t="s">
        <v>1359</v>
      </c>
      <c r="F95" s="41"/>
      <c r="G95" s="51" t="s">
        <v>1317</v>
      </c>
      <c r="H95" s="45"/>
      <c r="I95" s="46">
        <v>32</v>
      </c>
      <c r="J95" s="47">
        <v>37941</v>
      </c>
      <c r="K95" s="66"/>
    </row>
    <row r="96" ht="24" customHeight="1" spans="1:11">
      <c r="A96" s="42"/>
      <c r="B96" s="54" t="s">
        <v>1388</v>
      </c>
      <c r="C96" s="41" t="s">
        <v>322</v>
      </c>
      <c r="D96" s="41" t="s">
        <v>1302</v>
      </c>
      <c r="E96" s="41" t="s">
        <v>1316</v>
      </c>
      <c r="F96" s="41"/>
      <c r="G96" s="51" t="s">
        <v>1317</v>
      </c>
      <c r="H96" s="45"/>
      <c r="I96" s="46">
        <v>32</v>
      </c>
      <c r="J96" s="47">
        <v>37941</v>
      </c>
      <c r="K96" s="67"/>
    </row>
    <row r="97" ht="24" customHeight="1" spans="1:11">
      <c r="A97" s="42">
        <v>72</v>
      </c>
      <c r="B97" s="53" t="s">
        <v>1389</v>
      </c>
      <c r="C97" s="41" t="s">
        <v>13</v>
      </c>
      <c r="D97" s="41" t="s">
        <v>1302</v>
      </c>
      <c r="E97" s="41" t="s">
        <v>1316</v>
      </c>
      <c r="F97" s="41"/>
      <c r="G97" s="51" t="s">
        <v>1317</v>
      </c>
      <c r="H97" s="45"/>
      <c r="I97" s="46">
        <v>22.3</v>
      </c>
      <c r="J97" s="47">
        <v>37941</v>
      </c>
      <c r="K97" s="65" t="s">
        <v>1390</v>
      </c>
    </row>
    <row r="98" ht="24" customHeight="1" spans="1:11">
      <c r="A98" s="42">
        <v>73</v>
      </c>
      <c r="B98" s="53" t="s">
        <v>1389</v>
      </c>
      <c r="C98" s="41" t="s">
        <v>1307</v>
      </c>
      <c r="D98" s="41" t="s">
        <v>1308</v>
      </c>
      <c r="E98" s="41" t="s">
        <v>1359</v>
      </c>
      <c r="F98" s="41"/>
      <c r="G98" s="51" t="s">
        <v>1317</v>
      </c>
      <c r="H98" s="45"/>
      <c r="I98" s="46">
        <v>22.3</v>
      </c>
      <c r="J98" s="47">
        <v>37941</v>
      </c>
      <c r="K98" s="66"/>
    </row>
    <row r="99" ht="24" customHeight="1" spans="1:11">
      <c r="A99" s="42"/>
      <c r="B99" s="53" t="s">
        <v>1389</v>
      </c>
      <c r="C99" s="41" t="s">
        <v>322</v>
      </c>
      <c r="D99" s="41" t="s">
        <v>1302</v>
      </c>
      <c r="E99" s="41" t="s">
        <v>1316</v>
      </c>
      <c r="F99" s="41"/>
      <c r="G99" s="51" t="s">
        <v>1317</v>
      </c>
      <c r="H99" s="45"/>
      <c r="I99" s="46">
        <v>22.3</v>
      </c>
      <c r="J99" s="47">
        <v>37941</v>
      </c>
      <c r="K99" s="67"/>
    </row>
    <row r="100" ht="24" customHeight="1" spans="1:11">
      <c r="A100" s="42">
        <v>74</v>
      </c>
      <c r="B100" s="53" t="s">
        <v>1391</v>
      </c>
      <c r="C100" s="41" t="s">
        <v>13</v>
      </c>
      <c r="D100" s="41" t="s">
        <v>1302</v>
      </c>
      <c r="E100" s="41" t="s">
        <v>1303</v>
      </c>
      <c r="F100" s="41"/>
      <c r="G100" s="44" t="s">
        <v>1304</v>
      </c>
      <c r="H100" s="45" t="s">
        <v>1305</v>
      </c>
      <c r="I100" s="46">
        <v>53.61</v>
      </c>
      <c r="J100" s="47">
        <v>37941</v>
      </c>
      <c r="K100" s="65" t="s">
        <v>1392</v>
      </c>
    </row>
    <row r="101" ht="24" customHeight="1" spans="1:11">
      <c r="A101" s="42">
        <v>75</v>
      </c>
      <c r="B101" s="53" t="s">
        <v>1393</v>
      </c>
      <c r="C101" s="41" t="s">
        <v>1307</v>
      </c>
      <c r="D101" s="41" t="s">
        <v>1308</v>
      </c>
      <c r="E101" s="41" t="s">
        <v>1309</v>
      </c>
      <c r="F101" s="41"/>
      <c r="G101" s="51" t="s">
        <v>1312</v>
      </c>
      <c r="H101" s="45" t="s">
        <v>1305</v>
      </c>
      <c r="I101" s="46">
        <v>53.61</v>
      </c>
      <c r="J101" s="47">
        <v>37941</v>
      </c>
      <c r="K101" s="66"/>
    </row>
    <row r="102" ht="24" customHeight="1" spans="1:11">
      <c r="A102" s="42"/>
      <c r="B102" s="53" t="s">
        <v>1393</v>
      </c>
      <c r="C102" s="41" t="s">
        <v>322</v>
      </c>
      <c r="D102" s="41" t="s">
        <v>1302</v>
      </c>
      <c r="E102" s="41" t="s">
        <v>1303</v>
      </c>
      <c r="F102" s="41"/>
      <c r="G102" s="44" t="s">
        <v>1304</v>
      </c>
      <c r="H102" s="45" t="s">
        <v>1305</v>
      </c>
      <c r="I102" s="46">
        <v>53.61</v>
      </c>
      <c r="J102" s="47">
        <v>37941</v>
      </c>
      <c r="K102" s="67"/>
    </row>
    <row r="103" ht="24" customHeight="1" spans="1:11">
      <c r="A103" s="42">
        <v>76</v>
      </c>
      <c r="B103" s="53" t="s">
        <v>1394</v>
      </c>
      <c r="C103" s="41" t="s">
        <v>13</v>
      </c>
      <c r="D103" s="41" t="s">
        <v>1302</v>
      </c>
      <c r="E103" s="41" t="s">
        <v>1303</v>
      </c>
      <c r="F103" s="41"/>
      <c r="G103" s="44" t="s">
        <v>1304</v>
      </c>
      <c r="H103" s="45" t="s">
        <v>1305</v>
      </c>
      <c r="I103" s="46">
        <v>53.54</v>
      </c>
      <c r="J103" s="47">
        <v>37941</v>
      </c>
      <c r="K103" s="65" t="s">
        <v>1395</v>
      </c>
    </row>
    <row r="104" ht="24" customHeight="1" spans="1:11">
      <c r="A104" s="42">
        <v>77</v>
      </c>
      <c r="B104" s="53" t="s">
        <v>1396</v>
      </c>
      <c r="C104" s="41" t="s">
        <v>1307</v>
      </c>
      <c r="D104" s="41" t="s">
        <v>1308</v>
      </c>
      <c r="E104" s="41" t="s">
        <v>1309</v>
      </c>
      <c r="F104" s="41"/>
      <c r="G104" s="51" t="s">
        <v>1312</v>
      </c>
      <c r="H104" s="45" t="s">
        <v>1305</v>
      </c>
      <c r="I104" s="46">
        <v>53.54</v>
      </c>
      <c r="J104" s="47">
        <v>37941</v>
      </c>
      <c r="K104" s="66"/>
    </row>
    <row r="105" ht="24" customHeight="1" spans="1:11">
      <c r="A105" s="42"/>
      <c r="B105" s="53" t="s">
        <v>1396</v>
      </c>
      <c r="C105" s="41" t="s">
        <v>322</v>
      </c>
      <c r="D105" s="41" t="s">
        <v>1302</v>
      </c>
      <c r="E105" s="41" t="s">
        <v>1303</v>
      </c>
      <c r="F105" s="41"/>
      <c r="G105" s="44" t="s">
        <v>1304</v>
      </c>
      <c r="H105" s="45" t="s">
        <v>1305</v>
      </c>
      <c r="I105" s="46">
        <v>53.54</v>
      </c>
      <c r="J105" s="47">
        <v>37941</v>
      </c>
      <c r="K105" s="67"/>
    </row>
    <row r="106" ht="24" customHeight="1" spans="1:11">
      <c r="A106" s="42">
        <v>78</v>
      </c>
      <c r="B106" s="53" t="s">
        <v>1397</v>
      </c>
      <c r="C106" s="41" t="s">
        <v>13</v>
      </c>
      <c r="D106" s="41" t="s">
        <v>1302</v>
      </c>
      <c r="E106" s="41" t="s">
        <v>1303</v>
      </c>
      <c r="F106" s="41"/>
      <c r="G106" s="44" t="s">
        <v>1304</v>
      </c>
      <c r="H106" s="45" t="s">
        <v>1305</v>
      </c>
      <c r="I106" s="46">
        <v>53.5</v>
      </c>
      <c r="J106" s="47">
        <v>37941</v>
      </c>
      <c r="K106" s="65" t="s">
        <v>1398</v>
      </c>
    </row>
    <row r="107" ht="24" customHeight="1" spans="1:11">
      <c r="A107" s="42">
        <v>79</v>
      </c>
      <c r="B107" s="53" t="s">
        <v>1399</v>
      </c>
      <c r="C107" s="41" t="s">
        <v>1307</v>
      </c>
      <c r="D107" s="41" t="s">
        <v>1308</v>
      </c>
      <c r="E107" s="41" t="s">
        <v>1309</v>
      </c>
      <c r="F107" s="41"/>
      <c r="G107" s="44" t="s">
        <v>1304</v>
      </c>
      <c r="H107" s="45" t="s">
        <v>1305</v>
      </c>
      <c r="I107" s="46">
        <v>53.5</v>
      </c>
      <c r="J107" s="47">
        <v>37941</v>
      </c>
      <c r="K107" s="66"/>
    </row>
    <row r="108" ht="24" customHeight="1" spans="1:11">
      <c r="A108" s="42"/>
      <c r="B108" s="53" t="s">
        <v>1399</v>
      </c>
      <c r="C108" s="41" t="s">
        <v>322</v>
      </c>
      <c r="D108" s="41" t="s">
        <v>1302</v>
      </c>
      <c r="E108" s="41" t="s">
        <v>1303</v>
      </c>
      <c r="F108" s="41"/>
      <c r="G108" s="44" t="s">
        <v>1304</v>
      </c>
      <c r="H108" s="45" t="s">
        <v>1305</v>
      </c>
      <c r="I108" s="46">
        <v>53.5</v>
      </c>
      <c r="J108" s="47">
        <v>37941</v>
      </c>
      <c r="K108" s="67"/>
    </row>
    <row r="109" ht="24" customHeight="1" spans="1:11">
      <c r="A109" s="42">
        <v>81</v>
      </c>
      <c r="B109" s="53" t="s">
        <v>1400</v>
      </c>
      <c r="C109" s="41" t="s">
        <v>13</v>
      </c>
      <c r="D109" s="41" t="s">
        <v>1302</v>
      </c>
      <c r="E109" s="41" t="s">
        <v>1303</v>
      </c>
      <c r="F109" s="41"/>
      <c r="G109" s="44" t="s">
        <v>1304</v>
      </c>
      <c r="H109" s="45" t="s">
        <v>1305</v>
      </c>
      <c r="I109" s="46">
        <v>33.04</v>
      </c>
      <c r="J109" s="47">
        <v>37941</v>
      </c>
      <c r="K109" s="65" t="s">
        <v>1401</v>
      </c>
    </row>
    <row r="110" ht="24" customHeight="1" spans="1:11">
      <c r="A110" s="42">
        <v>82</v>
      </c>
      <c r="B110" s="53" t="s">
        <v>1402</v>
      </c>
      <c r="C110" s="41" t="s">
        <v>1307</v>
      </c>
      <c r="D110" s="41" t="s">
        <v>1308</v>
      </c>
      <c r="E110" s="41" t="s">
        <v>1309</v>
      </c>
      <c r="F110" s="41"/>
      <c r="G110" s="44" t="s">
        <v>1304</v>
      </c>
      <c r="H110" s="45" t="s">
        <v>1305</v>
      </c>
      <c r="I110" s="46">
        <v>33.04</v>
      </c>
      <c r="J110" s="47">
        <v>37941</v>
      </c>
      <c r="K110" s="66"/>
    </row>
    <row r="111" ht="24" customHeight="1" spans="1:11">
      <c r="A111" s="42"/>
      <c r="B111" s="53" t="s">
        <v>1402</v>
      </c>
      <c r="C111" s="41" t="s">
        <v>322</v>
      </c>
      <c r="D111" s="41" t="s">
        <v>1302</v>
      </c>
      <c r="E111" s="41" t="s">
        <v>1303</v>
      </c>
      <c r="F111" s="41"/>
      <c r="G111" s="44" t="s">
        <v>1304</v>
      </c>
      <c r="H111" s="45" t="s">
        <v>1305</v>
      </c>
      <c r="I111" s="46">
        <v>33.04</v>
      </c>
      <c r="J111" s="47">
        <v>37941</v>
      </c>
      <c r="K111" s="67"/>
    </row>
    <row r="112" ht="24" customHeight="1" spans="1:11">
      <c r="A112" s="42">
        <v>83</v>
      </c>
      <c r="B112" s="53" t="s">
        <v>1403</v>
      </c>
      <c r="C112" s="41" t="s">
        <v>13</v>
      </c>
      <c r="D112" s="41" t="s">
        <v>1302</v>
      </c>
      <c r="E112" s="41" t="s">
        <v>1303</v>
      </c>
      <c r="F112" s="41"/>
      <c r="G112" s="44" t="s">
        <v>1304</v>
      </c>
      <c r="H112" s="45" t="s">
        <v>1305</v>
      </c>
      <c r="I112" s="46">
        <v>277.5</v>
      </c>
      <c r="J112" s="47">
        <v>37941</v>
      </c>
      <c r="K112" s="65" t="s">
        <v>1404</v>
      </c>
    </row>
    <row r="113" ht="24" customHeight="1" spans="1:11">
      <c r="A113" s="42">
        <v>84</v>
      </c>
      <c r="B113" s="53" t="s">
        <v>1405</v>
      </c>
      <c r="C113" s="41" t="s">
        <v>1307</v>
      </c>
      <c r="D113" s="41" t="s">
        <v>1308</v>
      </c>
      <c r="E113" s="41" t="s">
        <v>1309</v>
      </c>
      <c r="F113" s="41"/>
      <c r="G113" s="51" t="s">
        <v>1312</v>
      </c>
      <c r="H113" s="45" t="s">
        <v>1305</v>
      </c>
      <c r="I113" s="46">
        <v>277.5</v>
      </c>
      <c r="J113" s="47">
        <v>37941</v>
      </c>
      <c r="K113" s="66"/>
    </row>
    <row r="114" ht="24" customHeight="1" spans="1:11">
      <c r="A114" s="42"/>
      <c r="B114" s="53" t="s">
        <v>1405</v>
      </c>
      <c r="C114" s="41" t="s">
        <v>322</v>
      </c>
      <c r="D114" s="41" t="s">
        <v>1302</v>
      </c>
      <c r="E114" s="41" t="s">
        <v>1303</v>
      </c>
      <c r="F114" s="41"/>
      <c r="G114" s="44" t="s">
        <v>1304</v>
      </c>
      <c r="H114" s="45" t="s">
        <v>1305</v>
      </c>
      <c r="I114" s="46">
        <v>277.5</v>
      </c>
      <c r="J114" s="47">
        <v>37941</v>
      </c>
      <c r="K114" s="67"/>
    </row>
    <row r="115" ht="24" customHeight="1" spans="1:11">
      <c r="A115" s="42">
        <v>85</v>
      </c>
      <c r="B115" s="54" t="s">
        <v>1406</v>
      </c>
      <c r="C115" s="41" t="s">
        <v>13</v>
      </c>
      <c r="D115" s="41" t="s">
        <v>1302</v>
      </c>
      <c r="E115" s="41" t="s">
        <v>1303</v>
      </c>
      <c r="F115" s="41"/>
      <c r="G115" s="44" t="s">
        <v>1304</v>
      </c>
      <c r="H115" s="45" t="s">
        <v>1305</v>
      </c>
      <c r="I115" s="46">
        <v>53.54</v>
      </c>
      <c r="J115" s="47">
        <v>37941</v>
      </c>
      <c r="K115" s="65" t="s">
        <v>1407</v>
      </c>
    </row>
    <row r="116" ht="24" customHeight="1" spans="1:11">
      <c r="A116" s="42">
        <v>86</v>
      </c>
      <c r="B116" s="54" t="s">
        <v>1408</v>
      </c>
      <c r="C116" s="41" t="s">
        <v>1307</v>
      </c>
      <c r="D116" s="41" t="s">
        <v>1308</v>
      </c>
      <c r="E116" s="41" t="s">
        <v>1309</v>
      </c>
      <c r="F116" s="41"/>
      <c r="G116" s="51" t="s">
        <v>1312</v>
      </c>
      <c r="H116" s="45" t="s">
        <v>1305</v>
      </c>
      <c r="I116" s="46">
        <v>53.54</v>
      </c>
      <c r="J116" s="47">
        <v>37941</v>
      </c>
      <c r="K116" s="66"/>
    </row>
    <row r="117" ht="24" customHeight="1" spans="1:11">
      <c r="A117" s="42"/>
      <c r="B117" s="54" t="s">
        <v>1408</v>
      </c>
      <c r="C117" s="41" t="s">
        <v>322</v>
      </c>
      <c r="D117" s="41" t="s">
        <v>1302</v>
      </c>
      <c r="E117" s="41" t="s">
        <v>1303</v>
      </c>
      <c r="F117" s="41"/>
      <c r="G117" s="44" t="s">
        <v>1304</v>
      </c>
      <c r="H117" s="45" t="s">
        <v>1305</v>
      </c>
      <c r="I117" s="46">
        <v>53.54</v>
      </c>
      <c r="J117" s="47">
        <v>37941</v>
      </c>
      <c r="K117" s="67"/>
    </row>
    <row r="118" ht="24" customHeight="1" spans="1:11">
      <c r="A118" s="42">
        <v>87</v>
      </c>
      <c r="B118" s="54" t="s">
        <v>1409</v>
      </c>
      <c r="C118" s="41" t="s">
        <v>13</v>
      </c>
      <c r="D118" s="41" t="s">
        <v>1302</v>
      </c>
      <c r="E118" s="41" t="s">
        <v>1303</v>
      </c>
      <c r="F118" s="41"/>
      <c r="G118" s="44" t="s">
        <v>1304</v>
      </c>
      <c r="H118" s="45" t="s">
        <v>1305</v>
      </c>
      <c r="I118" s="46">
        <v>42.04</v>
      </c>
      <c r="J118" s="47">
        <v>37941</v>
      </c>
      <c r="K118" s="65" t="s">
        <v>1410</v>
      </c>
    </row>
    <row r="119" ht="24" customHeight="1" spans="1:11">
      <c r="A119" s="42">
        <v>88</v>
      </c>
      <c r="B119" s="54" t="s">
        <v>1411</v>
      </c>
      <c r="C119" s="41" t="s">
        <v>1307</v>
      </c>
      <c r="D119" s="41" t="s">
        <v>1308</v>
      </c>
      <c r="E119" s="41" t="s">
        <v>1309</v>
      </c>
      <c r="F119" s="41"/>
      <c r="G119" s="51" t="s">
        <v>1312</v>
      </c>
      <c r="H119" s="45" t="s">
        <v>1305</v>
      </c>
      <c r="I119" s="46">
        <v>42.04</v>
      </c>
      <c r="J119" s="47">
        <v>37941</v>
      </c>
      <c r="K119" s="66"/>
    </row>
    <row r="120" ht="24" customHeight="1" spans="1:11">
      <c r="A120" s="42"/>
      <c r="B120" s="54" t="s">
        <v>1411</v>
      </c>
      <c r="C120" s="41" t="s">
        <v>322</v>
      </c>
      <c r="D120" s="41" t="s">
        <v>1302</v>
      </c>
      <c r="E120" s="41" t="s">
        <v>1303</v>
      </c>
      <c r="F120" s="41"/>
      <c r="G120" s="44" t="s">
        <v>1304</v>
      </c>
      <c r="H120" s="45" t="s">
        <v>1305</v>
      </c>
      <c r="I120" s="46">
        <v>42.04</v>
      </c>
      <c r="J120" s="47">
        <v>37941</v>
      </c>
      <c r="K120" s="67"/>
    </row>
    <row r="121" ht="24" customHeight="1" spans="1:11">
      <c r="A121" s="42">
        <v>89</v>
      </c>
      <c r="B121" s="54" t="s">
        <v>1412</v>
      </c>
      <c r="C121" s="41" t="s">
        <v>13</v>
      </c>
      <c r="D121" s="41" t="s">
        <v>1413</v>
      </c>
      <c r="E121" s="41"/>
      <c r="F121" s="41"/>
      <c r="G121" s="44"/>
      <c r="H121" s="45"/>
      <c r="I121" s="46">
        <v>23.54</v>
      </c>
      <c r="J121" s="47">
        <v>37941</v>
      </c>
      <c r="K121" s="65" t="s">
        <v>1414</v>
      </c>
    </row>
    <row r="122" ht="24" customHeight="1" spans="1:11">
      <c r="A122" s="42">
        <v>90</v>
      </c>
      <c r="B122" s="54" t="s">
        <v>1415</v>
      </c>
      <c r="C122" s="41" t="s">
        <v>1307</v>
      </c>
      <c r="D122" s="41" t="s">
        <v>1308</v>
      </c>
      <c r="E122" s="41" t="s">
        <v>1359</v>
      </c>
      <c r="F122" s="41"/>
      <c r="G122" s="51" t="s">
        <v>1317</v>
      </c>
      <c r="H122" s="45"/>
      <c r="I122" s="46">
        <v>23.54</v>
      </c>
      <c r="J122" s="47">
        <v>37941</v>
      </c>
      <c r="K122" s="66" t="s">
        <v>1414</v>
      </c>
    </row>
    <row r="123" ht="24" customHeight="1" spans="1:11">
      <c r="A123" s="42"/>
      <c r="B123" s="54" t="s">
        <v>1415</v>
      </c>
      <c r="C123" s="41" t="s">
        <v>322</v>
      </c>
      <c r="D123" s="41" t="s">
        <v>1302</v>
      </c>
      <c r="E123" s="41" t="s">
        <v>1316</v>
      </c>
      <c r="F123" s="41"/>
      <c r="G123" s="51" t="s">
        <v>1317</v>
      </c>
      <c r="H123" s="45"/>
      <c r="I123" s="46">
        <v>23.54</v>
      </c>
      <c r="J123" s="47">
        <v>37941</v>
      </c>
      <c r="K123" s="67" t="s">
        <v>1414</v>
      </c>
    </row>
    <row r="124" ht="24" customHeight="1" spans="1:11">
      <c r="A124" s="42">
        <v>91</v>
      </c>
      <c r="B124" s="54" t="s">
        <v>1416</v>
      </c>
      <c r="C124" s="41" t="s">
        <v>13</v>
      </c>
      <c r="D124" s="41" t="s">
        <v>1302</v>
      </c>
      <c r="E124" s="41" t="s">
        <v>1303</v>
      </c>
      <c r="F124" s="41"/>
      <c r="G124" s="51" t="s">
        <v>1312</v>
      </c>
      <c r="H124" s="45" t="s">
        <v>1305</v>
      </c>
      <c r="I124" s="46">
        <v>21.5</v>
      </c>
      <c r="J124" s="47">
        <v>37941</v>
      </c>
      <c r="K124" s="65" t="s">
        <v>1417</v>
      </c>
    </row>
    <row r="125" ht="24" customHeight="1" spans="1:11">
      <c r="A125" s="42">
        <v>92</v>
      </c>
      <c r="B125" s="54" t="s">
        <v>1418</v>
      </c>
      <c r="C125" s="41" t="s">
        <v>1307</v>
      </c>
      <c r="D125" s="41" t="s">
        <v>1308</v>
      </c>
      <c r="E125" s="41" t="s">
        <v>1359</v>
      </c>
      <c r="F125" s="41"/>
      <c r="G125" s="51" t="s">
        <v>1317</v>
      </c>
      <c r="H125" s="45"/>
      <c r="I125" s="46">
        <v>21.5</v>
      </c>
      <c r="J125" s="47">
        <v>37941</v>
      </c>
      <c r="K125" s="66" t="s">
        <v>1417</v>
      </c>
    </row>
    <row r="126" ht="24" customHeight="1" spans="1:11">
      <c r="A126" s="42"/>
      <c r="B126" s="54" t="s">
        <v>1418</v>
      </c>
      <c r="C126" s="41" t="s">
        <v>322</v>
      </c>
      <c r="D126" s="41" t="s">
        <v>1302</v>
      </c>
      <c r="E126" s="41" t="s">
        <v>1303</v>
      </c>
      <c r="F126" s="41"/>
      <c r="G126" s="51" t="s">
        <v>1312</v>
      </c>
      <c r="H126" s="45" t="s">
        <v>1305</v>
      </c>
      <c r="I126" s="46">
        <v>21.5</v>
      </c>
      <c r="J126" s="47">
        <v>37941</v>
      </c>
      <c r="K126" s="67" t="s">
        <v>1417</v>
      </c>
    </row>
    <row r="127" ht="24" customHeight="1" spans="1:11">
      <c r="A127" s="42">
        <v>93</v>
      </c>
      <c r="B127" s="54" t="s">
        <v>1419</v>
      </c>
      <c r="C127" s="41" t="s">
        <v>13</v>
      </c>
      <c r="D127" s="41" t="s">
        <v>1302</v>
      </c>
      <c r="E127" s="41" t="s">
        <v>1303</v>
      </c>
      <c r="F127" s="41"/>
      <c r="G127" s="44" t="s">
        <v>1304</v>
      </c>
      <c r="H127" s="45" t="s">
        <v>1305</v>
      </c>
      <c r="I127" s="46">
        <v>53.54</v>
      </c>
      <c r="J127" s="47">
        <v>37941</v>
      </c>
      <c r="K127" s="65" t="s">
        <v>1420</v>
      </c>
    </row>
    <row r="128" ht="24" customHeight="1" spans="1:11">
      <c r="A128" s="42">
        <v>94</v>
      </c>
      <c r="B128" s="54" t="s">
        <v>1421</v>
      </c>
      <c r="C128" s="41" t="s">
        <v>1307</v>
      </c>
      <c r="D128" s="41" t="s">
        <v>1308</v>
      </c>
      <c r="E128" s="41" t="s">
        <v>1309</v>
      </c>
      <c r="F128" s="41"/>
      <c r="G128" s="51" t="s">
        <v>1312</v>
      </c>
      <c r="H128" s="45" t="s">
        <v>1305</v>
      </c>
      <c r="I128" s="46">
        <v>53.54</v>
      </c>
      <c r="J128" s="47">
        <v>37941</v>
      </c>
      <c r="K128" s="66" t="s">
        <v>1420</v>
      </c>
    </row>
    <row r="129" ht="24" customHeight="1" spans="1:11">
      <c r="A129" s="42"/>
      <c r="B129" s="54" t="s">
        <v>1421</v>
      </c>
      <c r="C129" s="41" t="s">
        <v>322</v>
      </c>
      <c r="D129" s="41" t="s">
        <v>1302</v>
      </c>
      <c r="E129" s="41" t="s">
        <v>1303</v>
      </c>
      <c r="F129" s="41"/>
      <c r="G129" s="44" t="s">
        <v>1304</v>
      </c>
      <c r="H129" s="45" t="s">
        <v>1305</v>
      </c>
      <c r="I129" s="46">
        <v>53.54</v>
      </c>
      <c r="J129" s="47">
        <v>37941</v>
      </c>
      <c r="K129" s="67" t="s">
        <v>1420</v>
      </c>
    </row>
    <row r="130" ht="24" customHeight="1" spans="1:11">
      <c r="A130" s="42">
        <v>95</v>
      </c>
      <c r="B130" s="54" t="s">
        <v>1422</v>
      </c>
      <c r="C130" s="41" t="s">
        <v>13</v>
      </c>
      <c r="D130" s="41" t="s">
        <v>1302</v>
      </c>
      <c r="E130" s="41" t="s">
        <v>1303</v>
      </c>
      <c r="F130" s="41"/>
      <c r="G130" s="44" t="s">
        <v>1304</v>
      </c>
      <c r="H130" s="45" t="s">
        <v>1305</v>
      </c>
      <c r="I130" s="46">
        <v>66.54</v>
      </c>
      <c r="J130" s="47">
        <v>37941</v>
      </c>
      <c r="K130" s="65" t="s">
        <v>1423</v>
      </c>
    </row>
    <row r="131" ht="24" customHeight="1" spans="1:11">
      <c r="A131" s="42">
        <v>96</v>
      </c>
      <c r="B131" s="54" t="s">
        <v>1424</v>
      </c>
      <c r="C131" s="41" t="s">
        <v>1307</v>
      </c>
      <c r="D131" s="41" t="s">
        <v>1308</v>
      </c>
      <c r="E131" s="41" t="s">
        <v>1309</v>
      </c>
      <c r="F131" s="41"/>
      <c r="G131" s="51" t="s">
        <v>1312</v>
      </c>
      <c r="H131" s="45" t="s">
        <v>1305</v>
      </c>
      <c r="I131" s="46">
        <v>66.54</v>
      </c>
      <c r="J131" s="47">
        <v>37941</v>
      </c>
      <c r="K131" s="66" t="s">
        <v>1423</v>
      </c>
    </row>
    <row r="132" ht="24" customHeight="1" spans="1:11">
      <c r="A132" s="42"/>
      <c r="B132" s="54" t="s">
        <v>1424</v>
      </c>
      <c r="C132" s="41" t="s">
        <v>322</v>
      </c>
      <c r="D132" s="41" t="s">
        <v>1302</v>
      </c>
      <c r="E132" s="41" t="s">
        <v>1303</v>
      </c>
      <c r="F132" s="41"/>
      <c r="G132" s="44" t="s">
        <v>1304</v>
      </c>
      <c r="H132" s="45" t="s">
        <v>1305</v>
      </c>
      <c r="I132" s="46">
        <v>66.54</v>
      </c>
      <c r="J132" s="47">
        <v>37941</v>
      </c>
      <c r="K132" s="67" t="s">
        <v>1423</v>
      </c>
    </row>
    <row r="133" ht="24" customHeight="1" spans="1:11">
      <c r="A133" s="42">
        <v>97</v>
      </c>
      <c r="B133" s="54" t="s">
        <v>1425</v>
      </c>
      <c r="C133" s="41" t="s">
        <v>13</v>
      </c>
      <c r="D133" s="41" t="s">
        <v>1302</v>
      </c>
      <c r="E133" s="41" t="s">
        <v>1303</v>
      </c>
      <c r="F133" s="41"/>
      <c r="G133" s="44" t="s">
        <v>1304</v>
      </c>
      <c r="H133" s="45" t="s">
        <v>1305</v>
      </c>
      <c r="I133" s="46">
        <v>430.29</v>
      </c>
      <c r="J133" s="47">
        <v>37941</v>
      </c>
      <c r="K133" s="65" t="s">
        <v>1426</v>
      </c>
    </row>
    <row r="134" ht="24" customHeight="1" spans="1:11">
      <c r="A134" s="42">
        <v>98</v>
      </c>
      <c r="B134" s="54" t="s">
        <v>1427</v>
      </c>
      <c r="C134" s="41" t="s">
        <v>1307</v>
      </c>
      <c r="D134" s="41" t="s">
        <v>1308</v>
      </c>
      <c r="E134" s="41" t="s">
        <v>1309</v>
      </c>
      <c r="F134" s="41"/>
      <c r="G134" s="51" t="s">
        <v>1312</v>
      </c>
      <c r="H134" s="45" t="s">
        <v>1305</v>
      </c>
      <c r="I134" s="46">
        <v>430.29</v>
      </c>
      <c r="J134" s="47">
        <v>37941</v>
      </c>
      <c r="K134" s="66" t="s">
        <v>1426</v>
      </c>
    </row>
    <row r="135" ht="24" customHeight="1" spans="1:11">
      <c r="A135" s="42"/>
      <c r="B135" s="54" t="s">
        <v>1427</v>
      </c>
      <c r="C135" s="41" t="s">
        <v>322</v>
      </c>
      <c r="D135" s="41" t="s">
        <v>1302</v>
      </c>
      <c r="E135" s="41" t="s">
        <v>1303</v>
      </c>
      <c r="F135" s="41"/>
      <c r="G135" s="44" t="s">
        <v>1304</v>
      </c>
      <c r="H135" s="45" t="s">
        <v>1305</v>
      </c>
      <c r="I135" s="46">
        <v>430.29</v>
      </c>
      <c r="J135" s="47">
        <v>37941</v>
      </c>
      <c r="K135" s="67" t="s">
        <v>1426</v>
      </c>
    </row>
    <row r="136" ht="24" customHeight="1" spans="1:11">
      <c r="A136" s="42">
        <v>99</v>
      </c>
      <c r="B136" s="54" t="s">
        <v>1428</v>
      </c>
      <c r="C136" s="41" t="s">
        <v>13</v>
      </c>
      <c r="D136" s="41" t="s">
        <v>1302</v>
      </c>
      <c r="E136" s="41" t="s">
        <v>1303</v>
      </c>
      <c r="F136" s="41"/>
      <c r="G136" s="44" t="s">
        <v>1304</v>
      </c>
      <c r="H136" s="45" t="s">
        <v>1305</v>
      </c>
      <c r="I136" s="46">
        <v>310.06</v>
      </c>
      <c r="J136" s="47">
        <v>37941</v>
      </c>
      <c r="K136" s="65" t="s">
        <v>1429</v>
      </c>
    </row>
    <row r="137" ht="24" customHeight="1" spans="1:11">
      <c r="A137" s="42">
        <v>100</v>
      </c>
      <c r="B137" s="54" t="s">
        <v>1430</v>
      </c>
      <c r="C137" s="41" t="s">
        <v>1307</v>
      </c>
      <c r="D137" s="41" t="s">
        <v>1308</v>
      </c>
      <c r="E137" s="41" t="s">
        <v>1309</v>
      </c>
      <c r="F137" s="41"/>
      <c r="G137" s="51" t="s">
        <v>1312</v>
      </c>
      <c r="H137" s="45" t="s">
        <v>1305</v>
      </c>
      <c r="I137" s="46">
        <v>310.06</v>
      </c>
      <c r="J137" s="47">
        <v>37941</v>
      </c>
      <c r="K137" s="66" t="s">
        <v>1429</v>
      </c>
    </row>
    <row r="138" ht="24" customHeight="1" spans="1:11">
      <c r="A138" s="42"/>
      <c r="B138" s="54" t="s">
        <v>1430</v>
      </c>
      <c r="C138" s="41" t="s">
        <v>322</v>
      </c>
      <c r="D138" s="41" t="s">
        <v>1302</v>
      </c>
      <c r="E138" s="41" t="s">
        <v>1303</v>
      </c>
      <c r="F138" s="41"/>
      <c r="G138" s="44" t="s">
        <v>1304</v>
      </c>
      <c r="H138" s="45" t="s">
        <v>1305</v>
      </c>
      <c r="I138" s="46">
        <v>310.06</v>
      </c>
      <c r="J138" s="47">
        <v>37941</v>
      </c>
      <c r="K138" s="67" t="s">
        <v>1429</v>
      </c>
    </row>
    <row r="139" ht="24" customHeight="1" spans="1:11">
      <c r="A139" s="42">
        <v>101</v>
      </c>
      <c r="B139" s="54" t="s">
        <v>1431</v>
      </c>
      <c r="C139" s="41" t="s">
        <v>13</v>
      </c>
      <c r="D139" s="41" t="s">
        <v>1302</v>
      </c>
      <c r="E139" s="41" t="s">
        <v>1303</v>
      </c>
      <c r="F139" s="41"/>
      <c r="G139" s="44" t="s">
        <v>1304</v>
      </c>
      <c r="H139" s="45" t="s">
        <v>1305</v>
      </c>
      <c r="I139" s="46">
        <v>55.54</v>
      </c>
      <c r="J139" s="47">
        <v>37941</v>
      </c>
      <c r="K139" s="65" t="s">
        <v>1432</v>
      </c>
    </row>
    <row r="140" ht="24" customHeight="1" spans="1:11">
      <c r="A140" s="42">
        <v>102</v>
      </c>
      <c r="B140" s="54" t="s">
        <v>1431</v>
      </c>
      <c r="C140" s="41" t="s">
        <v>322</v>
      </c>
      <c r="D140" s="41" t="s">
        <v>1302</v>
      </c>
      <c r="E140" s="41" t="s">
        <v>1303</v>
      </c>
      <c r="F140" s="41"/>
      <c r="G140" s="44" t="s">
        <v>1304</v>
      </c>
      <c r="H140" s="45" t="s">
        <v>1305</v>
      </c>
      <c r="I140" s="46">
        <v>55.54</v>
      </c>
      <c r="J140" s="47">
        <v>37941</v>
      </c>
      <c r="K140" s="66" t="s">
        <v>1433</v>
      </c>
    </row>
    <row r="141" ht="24" customHeight="1" spans="1:11">
      <c r="A141" s="42">
        <v>105</v>
      </c>
      <c r="B141" s="54" t="s">
        <v>1434</v>
      </c>
      <c r="C141" s="41" t="s">
        <v>13</v>
      </c>
      <c r="D141" s="41" t="s">
        <v>1302</v>
      </c>
      <c r="E141" s="41" t="s">
        <v>1316</v>
      </c>
      <c r="F141" s="41"/>
      <c r="G141" s="51" t="s">
        <v>1317</v>
      </c>
      <c r="H141" s="45"/>
      <c r="I141" s="46">
        <v>27.54</v>
      </c>
      <c r="J141" s="47">
        <v>37941</v>
      </c>
      <c r="K141" s="65" t="s">
        <v>1435</v>
      </c>
    </row>
    <row r="142" ht="24" customHeight="1" spans="1:11">
      <c r="A142" s="42">
        <v>106</v>
      </c>
      <c r="B142" s="54" t="s">
        <v>1436</v>
      </c>
      <c r="C142" s="41" t="s">
        <v>1307</v>
      </c>
      <c r="D142" s="41" t="s">
        <v>1308</v>
      </c>
      <c r="E142" s="41" t="s">
        <v>1359</v>
      </c>
      <c r="F142" s="41"/>
      <c r="G142" s="51" t="s">
        <v>1317</v>
      </c>
      <c r="H142" s="45"/>
      <c r="I142" s="46">
        <v>27.54</v>
      </c>
      <c r="J142" s="47">
        <v>37941</v>
      </c>
      <c r="K142" s="66" t="s">
        <v>1435</v>
      </c>
    </row>
    <row r="143" ht="24" customHeight="1" spans="1:11">
      <c r="A143" s="42"/>
      <c r="B143" s="54" t="s">
        <v>1436</v>
      </c>
      <c r="C143" s="41" t="s">
        <v>322</v>
      </c>
      <c r="D143" s="41" t="s">
        <v>1302</v>
      </c>
      <c r="E143" s="41" t="s">
        <v>1316</v>
      </c>
      <c r="F143" s="41"/>
      <c r="G143" s="51" t="s">
        <v>1317</v>
      </c>
      <c r="H143" s="45"/>
      <c r="I143" s="46">
        <v>27.54</v>
      </c>
      <c r="J143" s="47">
        <v>37941</v>
      </c>
      <c r="K143" s="67" t="s">
        <v>1435</v>
      </c>
    </row>
    <row r="144" ht="24" customHeight="1" spans="1:11">
      <c r="A144" s="42">
        <v>108</v>
      </c>
      <c r="B144" s="54" t="s">
        <v>1437</v>
      </c>
      <c r="C144" s="41" t="s">
        <v>13</v>
      </c>
      <c r="D144" s="41" t="s">
        <v>1302</v>
      </c>
      <c r="E144" s="41" t="s">
        <v>1316</v>
      </c>
      <c r="F144" s="41"/>
      <c r="G144" s="51" t="s">
        <v>1317</v>
      </c>
      <c r="H144" s="45"/>
      <c r="I144" s="46">
        <v>23.54</v>
      </c>
      <c r="J144" s="47">
        <v>37941</v>
      </c>
      <c r="K144" s="65" t="s">
        <v>1438</v>
      </c>
    </row>
    <row r="145" ht="24" customHeight="1" spans="1:11">
      <c r="A145" s="42">
        <v>109</v>
      </c>
      <c r="B145" s="54" t="s">
        <v>1439</v>
      </c>
      <c r="C145" s="41" t="s">
        <v>1307</v>
      </c>
      <c r="D145" s="41" t="s">
        <v>1308</v>
      </c>
      <c r="E145" s="41" t="s">
        <v>1359</v>
      </c>
      <c r="F145" s="41"/>
      <c r="G145" s="51" t="s">
        <v>1317</v>
      </c>
      <c r="H145" s="45"/>
      <c r="I145" s="46">
        <v>23.54</v>
      </c>
      <c r="J145" s="47">
        <v>37941</v>
      </c>
      <c r="K145" s="66" t="s">
        <v>1438</v>
      </c>
    </row>
    <row r="146" ht="24" customHeight="1" spans="1:11">
      <c r="A146" s="42"/>
      <c r="B146" s="54" t="s">
        <v>1439</v>
      </c>
      <c r="C146" s="41" t="s">
        <v>322</v>
      </c>
      <c r="D146" s="41" t="s">
        <v>1302</v>
      </c>
      <c r="E146" s="41" t="s">
        <v>1316</v>
      </c>
      <c r="F146" s="41"/>
      <c r="G146" s="51" t="s">
        <v>1317</v>
      </c>
      <c r="H146" s="45"/>
      <c r="I146" s="46">
        <v>23.54</v>
      </c>
      <c r="J146" s="47">
        <v>37941</v>
      </c>
      <c r="K146" s="67" t="s">
        <v>1438</v>
      </c>
    </row>
    <row r="147" ht="24" customHeight="1" spans="1:11">
      <c r="A147" s="42">
        <v>110</v>
      </c>
      <c r="B147" s="54" t="s">
        <v>1440</v>
      </c>
      <c r="C147" s="41" t="s">
        <v>13</v>
      </c>
      <c r="D147" s="41" t="s">
        <v>1302</v>
      </c>
      <c r="E147" s="41" t="s">
        <v>1316</v>
      </c>
      <c r="F147" s="41"/>
      <c r="G147" s="51" t="s">
        <v>1317</v>
      </c>
      <c r="H147" s="45"/>
      <c r="I147" s="46">
        <v>23.54</v>
      </c>
      <c r="J147" s="47">
        <v>37941</v>
      </c>
      <c r="K147" s="65" t="s">
        <v>1441</v>
      </c>
    </row>
    <row r="148" ht="24" customHeight="1" spans="1:11">
      <c r="A148" s="42">
        <v>111</v>
      </c>
      <c r="B148" s="54" t="s">
        <v>1442</v>
      </c>
      <c r="C148" s="41" t="s">
        <v>1307</v>
      </c>
      <c r="D148" s="41" t="s">
        <v>1308</v>
      </c>
      <c r="E148" s="41" t="s">
        <v>1359</v>
      </c>
      <c r="F148" s="41"/>
      <c r="G148" s="51" t="s">
        <v>1317</v>
      </c>
      <c r="H148" s="45"/>
      <c r="I148" s="46">
        <v>23.54</v>
      </c>
      <c r="J148" s="47">
        <v>37941</v>
      </c>
      <c r="K148" s="66" t="s">
        <v>1441</v>
      </c>
    </row>
    <row r="149" ht="24" customHeight="1" spans="1:11">
      <c r="A149" s="42"/>
      <c r="B149" s="54" t="s">
        <v>1442</v>
      </c>
      <c r="C149" s="41" t="s">
        <v>322</v>
      </c>
      <c r="D149" s="41" t="s">
        <v>1302</v>
      </c>
      <c r="E149" s="41" t="s">
        <v>1316</v>
      </c>
      <c r="F149" s="41"/>
      <c r="G149" s="51" t="s">
        <v>1317</v>
      </c>
      <c r="H149" s="45"/>
      <c r="I149" s="46">
        <v>23.54</v>
      </c>
      <c r="J149" s="47">
        <v>37941</v>
      </c>
      <c r="K149" s="67" t="s">
        <v>1441</v>
      </c>
    </row>
    <row r="150" ht="24" customHeight="1" spans="1:11">
      <c r="A150" s="42">
        <v>112</v>
      </c>
      <c r="B150" s="54" t="s">
        <v>1443</v>
      </c>
      <c r="C150" s="41" t="s">
        <v>13</v>
      </c>
      <c r="D150" s="41" t="s">
        <v>1302</v>
      </c>
      <c r="E150" s="41" t="s">
        <v>1316</v>
      </c>
      <c r="F150" s="41"/>
      <c r="G150" s="51" t="s">
        <v>1317</v>
      </c>
      <c r="H150" s="45"/>
      <c r="I150" s="46">
        <v>17.54</v>
      </c>
      <c r="J150" s="47">
        <v>37941</v>
      </c>
      <c r="K150" s="65" t="s">
        <v>1444</v>
      </c>
    </row>
    <row r="151" ht="24" customHeight="1" spans="1:11">
      <c r="A151" s="42">
        <v>113</v>
      </c>
      <c r="B151" s="54" t="s">
        <v>1445</v>
      </c>
      <c r="C151" s="41" t="s">
        <v>1307</v>
      </c>
      <c r="D151" s="41" t="s">
        <v>1308</v>
      </c>
      <c r="E151" s="41" t="s">
        <v>1359</v>
      </c>
      <c r="F151" s="41"/>
      <c r="G151" s="51" t="s">
        <v>1317</v>
      </c>
      <c r="H151" s="45"/>
      <c r="I151" s="46">
        <v>17.54</v>
      </c>
      <c r="J151" s="47">
        <v>37941</v>
      </c>
      <c r="K151" s="66" t="s">
        <v>1444</v>
      </c>
    </row>
    <row r="152" ht="24" customHeight="1" spans="1:11">
      <c r="A152" s="42"/>
      <c r="B152" s="54" t="s">
        <v>1445</v>
      </c>
      <c r="C152" s="41" t="s">
        <v>322</v>
      </c>
      <c r="D152" s="41" t="s">
        <v>1302</v>
      </c>
      <c r="E152" s="41" t="s">
        <v>1316</v>
      </c>
      <c r="F152" s="41"/>
      <c r="G152" s="51" t="s">
        <v>1317</v>
      </c>
      <c r="H152" s="45"/>
      <c r="I152" s="46">
        <v>17.54</v>
      </c>
      <c r="J152" s="47">
        <v>37941</v>
      </c>
      <c r="K152" s="67" t="s">
        <v>1444</v>
      </c>
    </row>
    <row r="153" ht="24" customHeight="1" spans="1:11">
      <c r="A153" s="42">
        <v>114</v>
      </c>
      <c r="B153" s="54" t="s">
        <v>1446</v>
      </c>
      <c r="C153" s="41" t="s">
        <v>13</v>
      </c>
      <c r="D153" s="41" t="s">
        <v>1302</v>
      </c>
      <c r="E153" s="41" t="s">
        <v>1316</v>
      </c>
      <c r="F153" s="41"/>
      <c r="G153" s="51" t="s">
        <v>1317</v>
      </c>
      <c r="H153" s="45"/>
      <c r="I153" s="46">
        <v>24</v>
      </c>
      <c r="J153" s="47">
        <v>37941</v>
      </c>
      <c r="K153" s="65" t="s">
        <v>1447</v>
      </c>
    </row>
    <row r="154" ht="24" customHeight="1" spans="1:11">
      <c r="A154" s="42">
        <v>115</v>
      </c>
      <c r="B154" s="54" t="s">
        <v>1448</v>
      </c>
      <c r="C154" s="41" t="s">
        <v>1307</v>
      </c>
      <c r="D154" s="41" t="s">
        <v>1308</v>
      </c>
      <c r="E154" s="41" t="s">
        <v>1359</v>
      </c>
      <c r="F154" s="41"/>
      <c r="G154" s="51" t="s">
        <v>1317</v>
      </c>
      <c r="H154" s="45"/>
      <c r="I154" s="46">
        <v>24</v>
      </c>
      <c r="J154" s="47">
        <v>37941</v>
      </c>
      <c r="K154" s="66" t="s">
        <v>1447</v>
      </c>
    </row>
    <row r="155" ht="24" customHeight="1" spans="1:11">
      <c r="A155" s="42"/>
      <c r="B155" s="54" t="s">
        <v>1448</v>
      </c>
      <c r="C155" s="41" t="s">
        <v>322</v>
      </c>
      <c r="D155" s="41" t="s">
        <v>1302</v>
      </c>
      <c r="E155" s="41" t="s">
        <v>1316</v>
      </c>
      <c r="F155" s="41"/>
      <c r="G155" s="51" t="s">
        <v>1317</v>
      </c>
      <c r="H155" s="45"/>
      <c r="I155" s="46">
        <v>24</v>
      </c>
      <c r="J155" s="47">
        <v>37941</v>
      </c>
      <c r="K155" s="67" t="s">
        <v>1447</v>
      </c>
    </row>
    <row r="156" ht="24" customHeight="1" spans="1:11">
      <c r="A156" s="42">
        <v>116</v>
      </c>
      <c r="B156" s="54" t="s">
        <v>1449</v>
      </c>
      <c r="C156" s="41" t="s">
        <v>13</v>
      </c>
      <c r="D156" s="41" t="s">
        <v>1302</v>
      </c>
      <c r="E156" s="41" t="s">
        <v>1316</v>
      </c>
      <c r="F156" s="41"/>
      <c r="G156" s="51" t="s">
        <v>1317</v>
      </c>
      <c r="H156" s="45"/>
      <c r="I156" s="69">
        <v>40.2</v>
      </c>
      <c r="J156" s="47">
        <v>37941</v>
      </c>
      <c r="K156" s="65" t="s">
        <v>1450</v>
      </c>
    </row>
    <row r="157" ht="24" customHeight="1" spans="1:11">
      <c r="A157" s="42">
        <v>117</v>
      </c>
      <c r="B157" s="54" t="s">
        <v>1451</v>
      </c>
      <c r="C157" s="41" t="s">
        <v>1307</v>
      </c>
      <c r="D157" s="41" t="s">
        <v>1308</v>
      </c>
      <c r="E157" s="41" t="s">
        <v>1359</v>
      </c>
      <c r="F157" s="41"/>
      <c r="G157" s="51" t="s">
        <v>1317</v>
      </c>
      <c r="H157" s="45"/>
      <c r="I157" s="69">
        <v>38.6</v>
      </c>
      <c r="J157" s="47">
        <v>37941</v>
      </c>
      <c r="K157" s="66" t="s">
        <v>1450</v>
      </c>
    </row>
    <row r="158" ht="24" customHeight="1" spans="1:11">
      <c r="A158" s="42"/>
      <c r="B158" s="54" t="s">
        <v>1451</v>
      </c>
      <c r="C158" s="41" t="s">
        <v>322</v>
      </c>
      <c r="D158" s="41" t="s">
        <v>1302</v>
      </c>
      <c r="E158" s="41" t="s">
        <v>1316</v>
      </c>
      <c r="F158" s="41"/>
      <c r="G158" s="51" t="s">
        <v>1317</v>
      </c>
      <c r="H158" s="45"/>
      <c r="I158" s="69">
        <v>38.6</v>
      </c>
      <c r="J158" s="47">
        <v>37941</v>
      </c>
      <c r="K158" s="67" t="s">
        <v>1450</v>
      </c>
    </row>
    <row r="159" ht="24" customHeight="1" spans="1:11">
      <c r="A159" s="42">
        <v>118</v>
      </c>
      <c r="B159" s="54" t="s">
        <v>1452</v>
      </c>
      <c r="C159" s="41" t="s">
        <v>13</v>
      </c>
      <c r="D159" s="41" t="s">
        <v>1302</v>
      </c>
      <c r="E159" s="41" t="s">
        <v>1303</v>
      </c>
      <c r="F159" s="41"/>
      <c r="G159" s="44" t="s">
        <v>1304</v>
      </c>
      <c r="H159" s="45" t="s">
        <v>1305</v>
      </c>
      <c r="I159" s="46">
        <v>169</v>
      </c>
      <c r="J159" s="47">
        <v>37941</v>
      </c>
      <c r="K159" s="65" t="s">
        <v>1453</v>
      </c>
    </row>
    <row r="160" ht="24" customHeight="1" spans="1:11">
      <c r="A160" s="42">
        <v>119</v>
      </c>
      <c r="B160" s="54" t="s">
        <v>1452</v>
      </c>
      <c r="C160" s="41" t="s">
        <v>1307</v>
      </c>
      <c r="D160" s="41" t="s">
        <v>1308</v>
      </c>
      <c r="E160" s="41" t="s">
        <v>1309</v>
      </c>
      <c r="F160" s="41"/>
      <c r="G160" s="51" t="s">
        <v>1312</v>
      </c>
      <c r="H160" s="45" t="s">
        <v>1305</v>
      </c>
      <c r="I160" s="46">
        <v>176</v>
      </c>
      <c r="J160" s="47">
        <v>37941</v>
      </c>
      <c r="K160" s="66" t="s">
        <v>1453</v>
      </c>
    </row>
    <row r="161" ht="24" customHeight="1" spans="1:11">
      <c r="A161" s="42"/>
      <c r="B161" s="54" t="s">
        <v>1452</v>
      </c>
      <c r="C161" s="41" t="s">
        <v>322</v>
      </c>
      <c r="D161" s="41" t="s">
        <v>1302</v>
      </c>
      <c r="E161" s="41" t="s">
        <v>1303</v>
      </c>
      <c r="F161" s="41"/>
      <c r="G161" s="44" t="s">
        <v>1304</v>
      </c>
      <c r="H161" s="45" t="s">
        <v>1305</v>
      </c>
      <c r="I161" s="46">
        <v>176</v>
      </c>
      <c r="J161" s="47">
        <v>37941</v>
      </c>
      <c r="K161" s="67" t="s">
        <v>1453</v>
      </c>
    </row>
    <row r="162" ht="24" customHeight="1" spans="1:11">
      <c r="A162" s="42">
        <v>120</v>
      </c>
      <c r="B162" s="54" t="s">
        <v>1454</v>
      </c>
      <c r="C162" s="41" t="s">
        <v>322</v>
      </c>
      <c r="D162" s="41" t="s">
        <v>1302</v>
      </c>
      <c r="E162" s="41" t="s">
        <v>1303</v>
      </c>
      <c r="F162" s="41"/>
      <c r="G162" s="44" t="s">
        <v>1304</v>
      </c>
      <c r="H162" s="45" t="s">
        <v>1305</v>
      </c>
      <c r="I162" s="46">
        <v>166</v>
      </c>
      <c r="J162" s="47">
        <v>37941</v>
      </c>
      <c r="K162" s="48" t="s">
        <v>1455</v>
      </c>
    </row>
    <row r="163" ht="24" customHeight="1" spans="1:11">
      <c r="A163" s="42"/>
      <c r="B163" s="54" t="s">
        <v>1454</v>
      </c>
      <c r="C163" s="41" t="s">
        <v>1307</v>
      </c>
      <c r="D163" s="41" t="s">
        <v>1308</v>
      </c>
      <c r="E163" s="41" t="s">
        <v>1309</v>
      </c>
      <c r="F163" s="41"/>
      <c r="G163" s="51" t="s">
        <v>1312</v>
      </c>
      <c r="H163" s="45" t="s">
        <v>1305</v>
      </c>
      <c r="I163" s="46">
        <v>166</v>
      </c>
      <c r="J163" s="47">
        <v>37941</v>
      </c>
      <c r="K163" s="50"/>
    </row>
    <row r="164" ht="24" customHeight="1" spans="1:11">
      <c r="A164" s="42">
        <v>121</v>
      </c>
      <c r="B164" s="54" t="s">
        <v>1456</v>
      </c>
      <c r="C164" s="41" t="s">
        <v>13</v>
      </c>
      <c r="D164" s="41" t="s">
        <v>1302</v>
      </c>
      <c r="E164" s="41" t="s">
        <v>1303</v>
      </c>
      <c r="F164" s="41"/>
      <c r="G164" s="44" t="s">
        <v>1304</v>
      </c>
      <c r="H164" s="45" t="s">
        <v>1305</v>
      </c>
      <c r="I164" s="46">
        <v>756</v>
      </c>
      <c r="J164" s="47">
        <v>37941</v>
      </c>
      <c r="K164" s="48" t="s">
        <v>1457</v>
      </c>
    </row>
    <row r="165" ht="24" customHeight="1" spans="1:11">
      <c r="A165" s="42"/>
      <c r="B165" s="54" t="s">
        <v>1456</v>
      </c>
      <c r="C165" s="41" t="s">
        <v>1307</v>
      </c>
      <c r="D165" s="41" t="s">
        <v>1308</v>
      </c>
      <c r="E165" s="41" t="s">
        <v>1309</v>
      </c>
      <c r="F165" s="41"/>
      <c r="G165" s="51" t="s">
        <v>1312</v>
      </c>
      <c r="H165" s="45" t="s">
        <v>1305</v>
      </c>
      <c r="I165" s="46">
        <v>756</v>
      </c>
      <c r="J165" s="47"/>
      <c r="K165" s="50"/>
    </row>
    <row r="166" ht="24" customHeight="1" spans="1:11">
      <c r="A166" s="42">
        <v>122</v>
      </c>
      <c r="B166" s="54" t="s">
        <v>1458</v>
      </c>
      <c r="C166" s="41" t="s">
        <v>322</v>
      </c>
      <c r="D166" s="41" t="s">
        <v>1302</v>
      </c>
      <c r="E166" s="41" t="s">
        <v>1303</v>
      </c>
      <c r="F166" s="41"/>
      <c r="G166" s="44" t="s">
        <v>1304</v>
      </c>
      <c r="H166" s="45" t="s">
        <v>1305</v>
      </c>
      <c r="I166" s="46">
        <v>47</v>
      </c>
      <c r="J166" s="47">
        <v>37941</v>
      </c>
      <c r="K166" s="65" t="s">
        <v>1459</v>
      </c>
    </row>
    <row r="167" ht="24" customHeight="1" spans="1:11">
      <c r="A167" s="42"/>
      <c r="B167" s="54" t="s">
        <v>1458</v>
      </c>
      <c r="C167" s="41" t="s">
        <v>1307</v>
      </c>
      <c r="D167" s="41" t="s">
        <v>1308</v>
      </c>
      <c r="E167" s="41" t="s">
        <v>1309</v>
      </c>
      <c r="F167" s="41"/>
      <c r="G167" s="51" t="s">
        <v>1312</v>
      </c>
      <c r="H167" s="45" t="s">
        <v>1305</v>
      </c>
      <c r="I167" s="46">
        <v>47</v>
      </c>
      <c r="J167" s="47">
        <v>37941</v>
      </c>
      <c r="K167" s="67"/>
    </row>
    <row r="168" ht="24" customHeight="1" spans="1:11">
      <c r="A168" s="42">
        <v>123</v>
      </c>
      <c r="B168" s="54" t="s">
        <v>1460</v>
      </c>
      <c r="C168" s="41" t="s">
        <v>322</v>
      </c>
      <c r="D168" s="41" t="s">
        <v>1302</v>
      </c>
      <c r="E168" s="41" t="s">
        <v>1303</v>
      </c>
      <c r="F168" s="41"/>
      <c r="G168" s="44" t="s">
        <v>1304</v>
      </c>
      <c r="H168" s="45" t="s">
        <v>1305</v>
      </c>
      <c r="I168" s="46">
        <v>740</v>
      </c>
      <c r="J168" s="47">
        <v>37941</v>
      </c>
      <c r="K168" s="65" t="s">
        <v>1461</v>
      </c>
    </row>
    <row r="169" ht="24" customHeight="1" spans="1:11">
      <c r="A169" s="42"/>
      <c r="B169" s="54" t="s">
        <v>1460</v>
      </c>
      <c r="C169" s="41" t="s">
        <v>1307</v>
      </c>
      <c r="D169" s="41" t="s">
        <v>1308</v>
      </c>
      <c r="E169" s="41" t="s">
        <v>1309</v>
      </c>
      <c r="F169" s="41"/>
      <c r="G169" s="51" t="s">
        <v>1312</v>
      </c>
      <c r="H169" s="45" t="s">
        <v>1305</v>
      </c>
      <c r="I169" s="46">
        <v>740</v>
      </c>
      <c r="J169" s="47">
        <v>37941</v>
      </c>
      <c r="K169" s="67"/>
    </row>
    <row r="170" ht="24" customHeight="1" spans="1:11">
      <c r="A170" s="42">
        <v>124</v>
      </c>
      <c r="B170" s="54" t="s">
        <v>1462</v>
      </c>
      <c r="C170" s="41" t="s">
        <v>13</v>
      </c>
      <c r="D170" s="41" t="s">
        <v>1302</v>
      </c>
      <c r="E170" s="41" t="s">
        <v>1303</v>
      </c>
      <c r="F170" s="41"/>
      <c r="G170" s="44" t="s">
        <v>1304</v>
      </c>
      <c r="H170" s="45" t="s">
        <v>1305</v>
      </c>
      <c r="I170" s="46">
        <v>216.25</v>
      </c>
      <c r="J170" s="47">
        <v>37941</v>
      </c>
      <c r="K170" s="48" t="s">
        <v>1463</v>
      </c>
    </row>
    <row r="171" ht="24" customHeight="1" spans="1:11">
      <c r="A171" s="42"/>
      <c r="B171" s="54" t="s">
        <v>1462</v>
      </c>
      <c r="C171" s="41" t="s">
        <v>1307</v>
      </c>
      <c r="D171" s="41" t="s">
        <v>1308</v>
      </c>
      <c r="E171" s="41" t="s">
        <v>1309</v>
      </c>
      <c r="F171" s="41"/>
      <c r="G171" s="51" t="s">
        <v>1312</v>
      </c>
      <c r="H171" s="45" t="s">
        <v>1305</v>
      </c>
      <c r="I171" s="46">
        <v>216.25</v>
      </c>
      <c r="J171" s="47">
        <v>37941</v>
      </c>
      <c r="K171" s="50"/>
    </row>
    <row r="172" ht="24" customHeight="1" spans="1:11">
      <c r="A172" s="42">
        <v>125</v>
      </c>
      <c r="B172" s="54" t="s">
        <v>1464</v>
      </c>
      <c r="C172" s="41" t="s">
        <v>13</v>
      </c>
      <c r="D172" s="41" t="s">
        <v>1302</v>
      </c>
      <c r="E172" s="41" t="s">
        <v>1303</v>
      </c>
      <c r="F172" s="41"/>
      <c r="G172" s="44" t="s">
        <v>1304</v>
      </c>
      <c r="H172" s="45" t="s">
        <v>1305</v>
      </c>
      <c r="I172" s="46">
        <v>61</v>
      </c>
      <c r="J172" s="47">
        <v>37941</v>
      </c>
      <c r="K172" s="48" t="s">
        <v>1465</v>
      </c>
    </row>
    <row r="173" ht="24" customHeight="1" spans="1:11">
      <c r="A173" s="42"/>
      <c r="B173" s="54" t="s">
        <v>1464</v>
      </c>
      <c r="C173" s="41" t="s">
        <v>1307</v>
      </c>
      <c r="D173" s="41" t="s">
        <v>1308</v>
      </c>
      <c r="E173" s="41" t="s">
        <v>1309</v>
      </c>
      <c r="F173" s="41"/>
      <c r="G173" s="51" t="s">
        <v>1312</v>
      </c>
      <c r="H173" s="45" t="s">
        <v>1305</v>
      </c>
      <c r="I173" s="46">
        <v>61</v>
      </c>
      <c r="J173" s="47">
        <v>37941</v>
      </c>
      <c r="K173" s="50"/>
    </row>
    <row r="174" ht="24" customHeight="1" spans="1:11">
      <c r="A174" s="42">
        <v>126</v>
      </c>
      <c r="B174" s="54" t="s">
        <v>1466</v>
      </c>
      <c r="C174" s="41" t="s">
        <v>13</v>
      </c>
      <c r="D174" s="41" t="s">
        <v>1302</v>
      </c>
      <c r="E174" s="41" t="s">
        <v>1303</v>
      </c>
      <c r="F174" s="41"/>
      <c r="G174" s="44" t="s">
        <v>1304</v>
      </c>
      <c r="H174" s="45" t="s">
        <v>1305</v>
      </c>
      <c r="I174" s="46">
        <v>485.4</v>
      </c>
      <c r="J174" s="47">
        <v>37941</v>
      </c>
      <c r="K174" s="48" t="s">
        <v>1467</v>
      </c>
    </row>
    <row r="175" ht="24" customHeight="1" spans="1:11">
      <c r="A175" s="42">
        <v>127</v>
      </c>
      <c r="B175" s="54" t="s">
        <v>1468</v>
      </c>
      <c r="C175" s="41" t="s">
        <v>1307</v>
      </c>
      <c r="D175" s="41" t="s">
        <v>1308</v>
      </c>
      <c r="E175" s="41" t="s">
        <v>1309</v>
      </c>
      <c r="F175" s="41"/>
      <c r="G175" s="51" t="s">
        <v>1312</v>
      </c>
      <c r="H175" s="45" t="s">
        <v>1305</v>
      </c>
      <c r="I175" s="46">
        <v>405.4</v>
      </c>
      <c r="J175" s="47">
        <v>37941</v>
      </c>
      <c r="K175" s="49"/>
    </row>
    <row r="176" ht="24" customHeight="1" spans="1:11">
      <c r="A176" s="42"/>
      <c r="B176" s="54" t="s">
        <v>1468</v>
      </c>
      <c r="C176" s="41" t="s">
        <v>322</v>
      </c>
      <c r="D176" s="41" t="s">
        <v>1302</v>
      </c>
      <c r="E176" s="41" t="s">
        <v>1303</v>
      </c>
      <c r="F176" s="41"/>
      <c r="G176" s="44" t="s">
        <v>1304</v>
      </c>
      <c r="H176" s="45" t="s">
        <v>1305</v>
      </c>
      <c r="I176" s="46">
        <v>405.4</v>
      </c>
      <c r="J176" s="47">
        <v>37941</v>
      </c>
      <c r="K176" s="50"/>
    </row>
    <row r="177" ht="24" customHeight="1" spans="1:11">
      <c r="A177" s="42">
        <v>128</v>
      </c>
      <c r="B177" s="54" t="s">
        <v>1469</v>
      </c>
      <c r="C177" s="41" t="s">
        <v>13</v>
      </c>
      <c r="D177" s="41" t="s">
        <v>1302</v>
      </c>
      <c r="E177" s="41" t="s">
        <v>1303</v>
      </c>
      <c r="F177" s="41"/>
      <c r="G177" s="44" t="s">
        <v>1304</v>
      </c>
      <c r="H177" s="45" t="s">
        <v>1305</v>
      </c>
      <c r="I177" s="46">
        <v>335</v>
      </c>
      <c r="J177" s="47">
        <v>37941</v>
      </c>
      <c r="K177" s="48" t="s">
        <v>1470</v>
      </c>
    </row>
    <row r="178" ht="24" customHeight="1" spans="1:11">
      <c r="A178" s="42">
        <v>129</v>
      </c>
      <c r="B178" s="54" t="s">
        <v>1471</v>
      </c>
      <c r="C178" s="41" t="s">
        <v>1307</v>
      </c>
      <c r="D178" s="41" t="s">
        <v>1308</v>
      </c>
      <c r="E178" s="41" t="s">
        <v>1309</v>
      </c>
      <c r="F178" s="41"/>
      <c r="G178" s="51" t="s">
        <v>1312</v>
      </c>
      <c r="H178" s="45" t="s">
        <v>1305</v>
      </c>
      <c r="I178" s="46">
        <v>311</v>
      </c>
      <c r="J178" s="47">
        <v>37941</v>
      </c>
      <c r="K178" s="49" t="s">
        <v>1470</v>
      </c>
    </row>
    <row r="179" ht="24" customHeight="1" spans="1:11">
      <c r="A179" s="42"/>
      <c r="B179" s="54" t="s">
        <v>1471</v>
      </c>
      <c r="C179" s="41" t="s">
        <v>322</v>
      </c>
      <c r="D179" s="41" t="s">
        <v>1302</v>
      </c>
      <c r="E179" s="41" t="s">
        <v>1303</v>
      </c>
      <c r="F179" s="41"/>
      <c r="G179" s="44" t="s">
        <v>1304</v>
      </c>
      <c r="H179" s="45" t="s">
        <v>1305</v>
      </c>
      <c r="I179" s="46">
        <v>311</v>
      </c>
      <c r="J179" s="47">
        <v>37941</v>
      </c>
      <c r="K179" s="50" t="s">
        <v>1470</v>
      </c>
    </row>
    <row r="180" ht="24" customHeight="1" spans="1:11">
      <c r="A180" s="42">
        <v>130</v>
      </c>
      <c r="B180" s="54" t="s">
        <v>1472</v>
      </c>
      <c r="C180" s="41" t="s">
        <v>13</v>
      </c>
      <c r="D180" s="41" t="s">
        <v>1302</v>
      </c>
      <c r="E180" s="41" t="s">
        <v>1303</v>
      </c>
      <c r="F180" s="41"/>
      <c r="G180" s="44" t="s">
        <v>1304</v>
      </c>
      <c r="H180" s="45" t="s">
        <v>1305</v>
      </c>
      <c r="I180" s="46">
        <v>190</v>
      </c>
      <c r="J180" s="47">
        <v>37941</v>
      </c>
      <c r="K180" s="48" t="s">
        <v>1473</v>
      </c>
    </row>
    <row r="181" ht="24" customHeight="1" spans="1:11">
      <c r="A181" s="42">
        <v>131</v>
      </c>
      <c r="B181" s="54" t="s">
        <v>1474</v>
      </c>
      <c r="C181" s="41" t="s">
        <v>1307</v>
      </c>
      <c r="D181" s="41" t="s">
        <v>1308</v>
      </c>
      <c r="E181" s="41" t="s">
        <v>1309</v>
      </c>
      <c r="F181" s="41"/>
      <c r="G181" s="51" t="s">
        <v>1312</v>
      </c>
      <c r="H181" s="45" t="s">
        <v>1305</v>
      </c>
      <c r="I181" s="46">
        <v>458</v>
      </c>
      <c r="J181" s="47">
        <v>37941</v>
      </c>
      <c r="K181" s="49" t="s">
        <v>1473</v>
      </c>
    </row>
    <row r="182" ht="24" customHeight="1" spans="1:11">
      <c r="A182" s="42"/>
      <c r="B182" s="54" t="s">
        <v>1474</v>
      </c>
      <c r="C182" s="41" t="s">
        <v>322</v>
      </c>
      <c r="D182" s="41" t="s">
        <v>1302</v>
      </c>
      <c r="E182" s="41" t="s">
        <v>1303</v>
      </c>
      <c r="F182" s="41"/>
      <c r="G182" s="44" t="s">
        <v>1304</v>
      </c>
      <c r="H182" s="45" t="s">
        <v>1305</v>
      </c>
      <c r="I182" s="46">
        <v>458</v>
      </c>
      <c r="J182" s="47">
        <v>37941</v>
      </c>
      <c r="K182" s="50" t="s">
        <v>1473</v>
      </c>
    </row>
    <row r="183" ht="24" customHeight="1" spans="1:11">
      <c r="A183" s="42">
        <v>132</v>
      </c>
      <c r="B183" s="54" t="s">
        <v>1475</v>
      </c>
      <c r="C183" s="41" t="s">
        <v>13</v>
      </c>
      <c r="D183" s="41" t="s">
        <v>1302</v>
      </c>
      <c r="E183" s="41" t="s">
        <v>1303</v>
      </c>
      <c r="F183" s="41"/>
      <c r="G183" s="44" t="s">
        <v>1304</v>
      </c>
      <c r="H183" s="45" t="s">
        <v>1305</v>
      </c>
      <c r="I183" s="46">
        <v>191.08</v>
      </c>
      <c r="J183" s="47">
        <v>37941</v>
      </c>
      <c r="K183" s="48" t="s">
        <v>1476</v>
      </c>
    </row>
    <row r="184" ht="24" customHeight="1" spans="1:11">
      <c r="A184" s="42">
        <v>133</v>
      </c>
      <c r="B184" s="54" t="s">
        <v>1477</v>
      </c>
      <c r="C184" s="41" t="s">
        <v>1307</v>
      </c>
      <c r="D184" s="41" t="s">
        <v>1308</v>
      </c>
      <c r="E184" s="41" t="s">
        <v>1309</v>
      </c>
      <c r="F184" s="41"/>
      <c r="G184" s="51" t="s">
        <v>1312</v>
      </c>
      <c r="H184" s="45" t="s">
        <v>1305</v>
      </c>
      <c r="I184" s="46">
        <v>252.08</v>
      </c>
      <c r="J184" s="47">
        <v>37941</v>
      </c>
      <c r="K184" s="49" t="s">
        <v>1476</v>
      </c>
    </row>
    <row r="185" ht="24" customHeight="1" spans="1:11">
      <c r="A185" s="42"/>
      <c r="B185" s="54" t="s">
        <v>1477</v>
      </c>
      <c r="C185" s="41" t="s">
        <v>322</v>
      </c>
      <c r="D185" s="41" t="s">
        <v>1302</v>
      </c>
      <c r="E185" s="41" t="s">
        <v>1303</v>
      </c>
      <c r="F185" s="41"/>
      <c r="G185" s="44" t="s">
        <v>1304</v>
      </c>
      <c r="H185" s="45" t="s">
        <v>1305</v>
      </c>
      <c r="I185" s="46">
        <v>252.08</v>
      </c>
      <c r="J185" s="47">
        <v>37941</v>
      </c>
      <c r="K185" s="50" t="s">
        <v>1476</v>
      </c>
    </row>
    <row r="186" ht="24" customHeight="1" spans="1:11">
      <c r="A186" s="42">
        <v>134</v>
      </c>
      <c r="B186" s="54" t="s">
        <v>1478</v>
      </c>
      <c r="C186" s="41" t="s">
        <v>13</v>
      </c>
      <c r="D186" s="41" t="s">
        <v>1302</v>
      </c>
      <c r="E186" s="41" t="s">
        <v>1303</v>
      </c>
      <c r="F186" s="41"/>
      <c r="G186" s="44" t="s">
        <v>1304</v>
      </c>
      <c r="H186" s="45" t="s">
        <v>1305</v>
      </c>
      <c r="I186" s="46">
        <v>90.7</v>
      </c>
      <c r="J186" s="47">
        <v>37941</v>
      </c>
      <c r="K186" s="48" t="s">
        <v>1479</v>
      </c>
    </row>
    <row r="187" ht="24" customHeight="1" spans="1:11">
      <c r="A187" s="42">
        <v>135</v>
      </c>
      <c r="B187" s="54" t="s">
        <v>1480</v>
      </c>
      <c r="C187" s="41" t="s">
        <v>1307</v>
      </c>
      <c r="D187" s="41" t="s">
        <v>1308</v>
      </c>
      <c r="E187" s="41" t="s">
        <v>1309</v>
      </c>
      <c r="F187" s="41"/>
      <c r="G187" s="51" t="s">
        <v>1312</v>
      </c>
      <c r="H187" s="45" t="s">
        <v>1305</v>
      </c>
      <c r="I187" s="46">
        <v>90.7</v>
      </c>
      <c r="J187" s="47">
        <v>37941</v>
      </c>
      <c r="K187" s="49" t="s">
        <v>1479</v>
      </c>
    </row>
    <row r="188" ht="24" customHeight="1" spans="1:11">
      <c r="A188" s="42"/>
      <c r="B188" s="54" t="s">
        <v>1480</v>
      </c>
      <c r="C188" s="41" t="s">
        <v>322</v>
      </c>
      <c r="D188" s="41" t="s">
        <v>1302</v>
      </c>
      <c r="E188" s="41" t="s">
        <v>1303</v>
      </c>
      <c r="F188" s="41"/>
      <c r="G188" s="44" t="s">
        <v>1304</v>
      </c>
      <c r="H188" s="45" t="s">
        <v>1305</v>
      </c>
      <c r="I188" s="46">
        <v>90.7</v>
      </c>
      <c r="J188" s="47">
        <v>37941</v>
      </c>
      <c r="K188" s="50" t="s">
        <v>1479</v>
      </c>
    </row>
    <row r="189" ht="24" customHeight="1" spans="1:11">
      <c r="A189" s="42">
        <v>136</v>
      </c>
      <c r="B189" s="54" t="s">
        <v>1481</v>
      </c>
      <c r="C189" s="41" t="s">
        <v>13</v>
      </c>
      <c r="D189" s="41" t="s">
        <v>1302</v>
      </c>
      <c r="E189" s="41" t="s">
        <v>1316</v>
      </c>
      <c r="F189" s="41"/>
      <c r="G189" s="51" t="s">
        <v>1317</v>
      </c>
      <c r="H189" s="45"/>
      <c r="I189" s="46">
        <v>53</v>
      </c>
      <c r="J189" s="47">
        <v>37941</v>
      </c>
      <c r="K189" s="48" t="s">
        <v>1482</v>
      </c>
    </row>
    <row r="190" ht="24" customHeight="1" spans="1:11">
      <c r="A190" s="42">
        <v>137</v>
      </c>
      <c r="B190" s="54" t="s">
        <v>1483</v>
      </c>
      <c r="C190" s="41" t="s">
        <v>1307</v>
      </c>
      <c r="D190" s="41" t="s">
        <v>1308</v>
      </c>
      <c r="E190" s="41" t="s">
        <v>1359</v>
      </c>
      <c r="F190" s="41"/>
      <c r="G190" s="51" t="s">
        <v>1317</v>
      </c>
      <c r="H190" s="45"/>
      <c r="I190" s="46">
        <v>53</v>
      </c>
      <c r="J190" s="47">
        <v>37941</v>
      </c>
      <c r="K190" s="49" t="s">
        <v>1482</v>
      </c>
    </row>
    <row r="191" ht="24" customHeight="1" spans="1:11">
      <c r="A191" s="42"/>
      <c r="B191" s="54" t="s">
        <v>1483</v>
      </c>
      <c r="C191" s="41" t="s">
        <v>322</v>
      </c>
      <c r="D191" s="41" t="s">
        <v>1302</v>
      </c>
      <c r="E191" s="41" t="s">
        <v>1316</v>
      </c>
      <c r="F191" s="41"/>
      <c r="G191" s="51" t="s">
        <v>1317</v>
      </c>
      <c r="H191" s="45"/>
      <c r="I191" s="46">
        <v>53</v>
      </c>
      <c r="J191" s="47">
        <v>37941</v>
      </c>
      <c r="K191" s="50" t="s">
        <v>1482</v>
      </c>
    </row>
    <row r="192" ht="24" customHeight="1" spans="1:11">
      <c r="A192" s="42">
        <v>138</v>
      </c>
      <c r="B192" s="54" t="s">
        <v>1484</v>
      </c>
      <c r="C192" s="41" t="s">
        <v>13</v>
      </c>
      <c r="D192" s="41" t="s">
        <v>1302</v>
      </c>
      <c r="E192" s="41" t="s">
        <v>1303</v>
      </c>
      <c r="F192" s="41"/>
      <c r="G192" s="44" t="s">
        <v>1304</v>
      </c>
      <c r="H192" s="45" t="s">
        <v>1305</v>
      </c>
      <c r="I192" s="46">
        <v>58.7</v>
      </c>
      <c r="J192" s="47">
        <v>37941</v>
      </c>
      <c r="K192" s="48" t="s">
        <v>1485</v>
      </c>
    </row>
    <row r="193" ht="24" customHeight="1" spans="1:11">
      <c r="A193" s="42">
        <v>139</v>
      </c>
      <c r="B193" s="54" t="s">
        <v>1486</v>
      </c>
      <c r="C193" s="41" t="s">
        <v>1307</v>
      </c>
      <c r="D193" s="41" t="s">
        <v>1308</v>
      </c>
      <c r="E193" s="41" t="s">
        <v>1309</v>
      </c>
      <c r="F193" s="41"/>
      <c r="G193" s="51" t="s">
        <v>1312</v>
      </c>
      <c r="H193" s="45" t="s">
        <v>1305</v>
      </c>
      <c r="I193" s="46">
        <v>58.7</v>
      </c>
      <c r="J193" s="47">
        <v>37941</v>
      </c>
      <c r="K193" s="49" t="s">
        <v>1485</v>
      </c>
    </row>
    <row r="194" ht="24" customHeight="1" spans="1:11">
      <c r="A194" s="42"/>
      <c r="B194" s="54" t="s">
        <v>1486</v>
      </c>
      <c r="C194" s="41" t="s">
        <v>322</v>
      </c>
      <c r="D194" s="41" t="s">
        <v>1302</v>
      </c>
      <c r="E194" s="41" t="s">
        <v>1303</v>
      </c>
      <c r="F194" s="41"/>
      <c r="G194" s="44" t="s">
        <v>1304</v>
      </c>
      <c r="H194" s="45" t="s">
        <v>1305</v>
      </c>
      <c r="I194" s="46">
        <v>58.7</v>
      </c>
      <c r="J194" s="47">
        <v>37941</v>
      </c>
      <c r="K194" s="50" t="s">
        <v>1485</v>
      </c>
    </row>
    <row r="195" ht="24" customHeight="1" spans="1:11">
      <c r="A195" s="42">
        <v>140</v>
      </c>
      <c r="B195" s="54" t="s">
        <v>1487</v>
      </c>
      <c r="C195" s="41" t="s">
        <v>13</v>
      </c>
      <c r="D195" s="41" t="s">
        <v>1302</v>
      </c>
      <c r="E195" s="41" t="s">
        <v>1303</v>
      </c>
      <c r="F195" s="41"/>
      <c r="G195" s="44" t="s">
        <v>1304</v>
      </c>
      <c r="H195" s="45" t="s">
        <v>1305</v>
      </c>
      <c r="I195" s="46">
        <v>66</v>
      </c>
      <c r="J195" s="47">
        <v>37941</v>
      </c>
      <c r="K195" s="48" t="s">
        <v>1488</v>
      </c>
    </row>
    <row r="196" ht="24" customHeight="1" spans="1:11">
      <c r="A196" s="42">
        <v>141</v>
      </c>
      <c r="B196" s="54" t="s">
        <v>1489</v>
      </c>
      <c r="C196" s="41" t="s">
        <v>1307</v>
      </c>
      <c r="D196" s="41" t="s">
        <v>1308</v>
      </c>
      <c r="E196" s="41" t="s">
        <v>1309</v>
      </c>
      <c r="F196" s="41"/>
      <c r="G196" s="51" t="s">
        <v>1312</v>
      </c>
      <c r="H196" s="45" t="s">
        <v>1305</v>
      </c>
      <c r="I196" s="46">
        <v>66</v>
      </c>
      <c r="J196" s="47">
        <v>37941</v>
      </c>
      <c r="K196" s="49" t="s">
        <v>1488</v>
      </c>
    </row>
    <row r="197" ht="24" customHeight="1" spans="1:11">
      <c r="A197" s="42"/>
      <c r="B197" s="54" t="s">
        <v>1489</v>
      </c>
      <c r="C197" s="41" t="s">
        <v>322</v>
      </c>
      <c r="D197" s="41" t="s">
        <v>1302</v>
      </c>
      <c r="E197" s="41" t="s">
        <v>1303</v>
      </c>
      <c r="F197" s="41"/>
      <c r="G197" s="44" t="s">
        <v>1304</v>
      </c>
      <c r="H197" s="45" t="s">
        <v>1305</v>
      </c>
      <c r="I197" s="46">
        <v>66</v>
      </c>
      <c r="J197" s="47">
        <v>37941</v>
      </c>
      <c r="K197" s="50" t="s">
        <v>1488</v>
      </c>
    </row>
    <row r="198" ht="24" customHeight="1" spans="1:11">
      <c r="A198" s="42">
        <v>142</v>
      </c>
      <c r="B198" s="54" t="s">
        <v>1490</v>
      </c>
      <c r="C198" s="41" t="s">
        <v>13</v>
      </c>
      <c r="D198" s="41" t="s">
        <v>1302</v>
      </c>
      <c r="E198" s="41" t="s">
        <v>1303</v>
      </c>
      <c r="F198" s="41"/>
      <c r="G198" s="44" t="s">
        <v>1304</v>
      </c>
      <c r="H198" s="45" t="s">
        <v>1305</v>
      </c>
      <c r="I198" s="46">
        <v>70.7</v>
      </c>
      <c r="J198" s="47">
        <v>37941</v>
      </c>
      <c r="K198" s="48" t="s">
        <v>1491</v>
      </c>
    </row>
    <row r="199" ht="24" customHeight="1" spans="1:11">
      <c r="A199" s="42">
        <v>143</v>
      </c>
      <c r="B199" s="54" t="s">
        <v>1492</v>
      </c>
      <c r="C199" s="41" t="s">
        <v>1307</v>
      </c>
      <c r="D199" s="41" t="s">
        <v>1308</v>
      </c>
      <c r="E199" s="41" t="s">
        <v>1309</v>
      </c>
      <c r="F199" s="41"/>
      <c r="G199" s="51" t="s">
        <v>1312</v>
      </c>
      <c r="H199" s="45" t="s">
        <v>1305</v>
      </c>
      <c r="I199" s="46">
        <v>70.7</v>
      </c>
      <c r="J199" s="47">
        <v>37941</v>
      </c>
      <c r="K199" s="49" t="s">
        <v>1491</v>
      </c>
    </row>
    <row r="200" ht="24" customHeight="1" spans="1:11">
      <c r="A200" s="42"/>
      <c r="B200" s="54" t="s">
        <v>1492</v>
      </c>
      <c r="C200" s="41" t="s">
        <v>322</v>
      </c>
      <c r="D200" s="41" t="s">
        <v>1302</v>
      </c>
      <c r="E200" s="41" t="s">
        <v>1303</v>
      </c>
      <c r="F200" s="41"/>
      <c r="G200" s="44" t="s">
        <v>1304</v>
      </c>
      <c r="H200" s="45" t="s">
        <v>1305</v>
      </c>
      <c r="I200" s="46">
        <v>70.7</v>
      </c>
      <c r="J200" s="47">
        <v>37941</v>
      </c>
      <c r="K200" s="50" t="s">
        <v>1491</v>
      </c>
    </row>
    <row r="201" ht="24" customHeight="1" spans="1:11">
      <c r="A201" s="42">
        <v>144</v>
      </c>
      <c r="B201" s="54" t="s">
        <v>1493</v>
      </c>
      <c r="C201" s="41" t="s">
        <v>13</v>
      </c>
      <c r="D201" s="41" t="s">
        <v>1302</v>
      </c>
      <c r="E201" s="41" t="s">
        <v>1303</v>
      </c>
      <c r="F201" s="41"/>
      <c r="G201" s="44" t="s">
        <v>1304</v>
      </c>
      <c r="H201" s="45" t="s">
        <v>1305</v>
      </c>
      <c r="I201" s="46">
        <v>66</v>
      </c>
      <c r="J201" s="47">
        <v>37941</v>
      </c>
      <c r="K201" s="48" t="s">
        <v>1494</v>
      </c>
    </row>
    <row r="202" ht="24" customHeight="1" spans="1:11">
      <c r="A202" s="42">
        <v>145</v>
      </c>
      <c r="B202" s="54" t="s">
        <v>1495</v>
      </c>
      <c r="C202" s="41" t="s">
        <v>1307</v>
      </c>
      <c r="D202" s="41" t="s">
        <v>1308</v>
      </c>
      <c r="E202" s="41" t="s">
        <v>1309</v>
      </c>
      <c r="F202" s="41"/>
      <c r="G202" s="51" t="s">
        <v>1312</v>
      </c>
      <c r="H202" s="45" t="s">
        <v>1305</v>
      </c>
      <c r="I202" s="46">
        <v>66</v>
      </c>
      <c r="J202" s="47">
        <v>37941</v>
      </c>
      <c r="K202" s="49" t="s">
        <v>1494</v>
      </c>
    </row>
    <row r="203" ht="24" customHeight="1" spans="1:11">
      <c r="A203" s="42"/>
      <c r="B203" s="54" t="s">
        <v>1495</v>
      </c>
      <c r="C203" s="41" t="s">
        <v>322</v>
      </c>
      <c r="D203" s="41" t="s">
        <v>1302</v>
      </c>
      <c r="E203" s="41" t="s">
        <v>1303</v>
      </c>
      <c r="F203" s="41"/>
      <c r="G203" s="44" t="s">
        <v>1304</v>
      </c>
      <c r="H203" s="45" t="s">
        <v>1305</v>
      </c>
      <c r="I203" s="46">
        <v>66</v>
      </c>
      <c r="J203" s="47">
        <v>37941</v>
      </c>
      <c r="K203" s="50" t="s">
        <v>1494</v>
      </c>
    </row>
    <row r="204" ht="24" customHeight="1" spans="1:11">
      <c r="A204" s="42">
        <v>146</v>
      </c>
      <c r="B204" s="54" t="s">
        <v>1496</v>
      </c>
      <c r="C204" s="41" t="s">
        <v>13</v>
      </c>
      <c r="D204" s="41" t="s">
        <v>1302</v>
      </c>
      <c r="E204" s="41" t="s">
        <v>1303</v>
      </c>
      <c r="F204" s="41"/>
      <c r="G204" s="44" t="s">
        <v>1304</v>
      </c>
      <c r="H204" s="45" t="s">
        <v>1305</v>
      </c>
      <c r="I204" s="46">
        <v>50.7</v>
      </c>
      <c r="J204" s="47">
        <v>37941</v>
      </c>
      <c r="K204" s="48" t="s">
        <v>1497</v>
      </c>
    </row>
    <row r="205" ht="24" customHeight="1" spans="1:11">
      <c r="A205" s="42">
        <v>147</v>
      </c>
      <c r="B205" s="54" t="s">
        <v>1498</v>
      </c>
      <c r="C205" s="41" t="s">
        <v>1307</v>
      </c>
      <c r="D205" s="41" t="s">
        <v>1308</v>
      </c>
      <c r="E205" s="41" t="s">
        <v>1309</v>
      </c>
      <c r="F205" s="41"/>
      <c r="G205" s="51" t="s">
        <v>1312</v>
      </c>
      <c r="H205" s="45" t="s">
        <v>1305</v>
      </c>
      <c r="I205" s="46">
        <v>50.7</v>
      </c>
      <c r="J205" s="47">
        <v>37941</v>
      </c>
      <c r="K205" s="49" t="s">
        <v>1497</v>
      </c>
    </row>
    <row r="206" ht="24" customHeight="1" spans="1:11">
      <c r="A206" s="42"/>
      <c r="B206" s="54" t="s">
        <v>1498</v>
      </c>
      <c r="C206" s="41" t="s">
        <v>322</v>
      </c>
      <c r="D206" s="41" t="s">
        <v>1302</v>
      </c>
      <c r="E206" s="41" t="s">
        <v>1303</v>
      </c>
      <c r="F206" s="41"/>
      <c r="G206" s="44" t="s">
        <v>1304</v>
      </c>
      <c r="H206" s="45" t="s">
        <v>1305</v>
      </c>
      <c r="I206" s="46">
        <v>50.7</v>
      </c>
      <c r="J206" s="47">
        <v>37941</v>
      </c>
      <c r="K206" s="50" t="s">
        <v>1497</v>
      </c>
    </row>
    <row r="207" ht="24" customHeight="1" spans="1:11">
      <c r="A207" s="42">
        <v>148</v>
      </c>
      <c r="B207" s="54" t="s">
        <v>1499</v>
      </c>
      <c r="C207" s="41" t="s">
        <v>13</v>
      </c>
      <c r="D207" s="41" t="s">
        <v>1302</v>
      </c>
      <c r="E207" s="41" t="s">
        <v>1303</v>
      </c>
      <c r="F207" s="41"/>
      <c r="G207" s="51" t="s">
        <v>1312</v>
      </c>
      <c r="H207" s="45" t="s">
        <v>1305</v>
      </c>
      <c r="I207" s="46">
        <v>90.7</v>
      </c>
      <c r="J207" s="47">
        <v>37941</v>
      </c>
      <c r="K207" s="48" t="s">
        <v>1500</v>
      </c>
    </row>
    <row r="208" ht="24" customHeight="1" spans="1:11">
      <c r="A208" s="42">
        <v>149</v>
      </c>
      <c r="B208" s="54" t="s">
        <v>1501</v>
      </c>
      <c r="C208" s="41" t="s">
        <v>1307</v>
      </c>
      <c r="D208" s="41" t="s">
        <v>1308</v>
      </c>
      <c r="E208" s="41" t="s">
        <v>1309</v>
      </c>
      <c r="F208" s="41"/>
      <c r="G208" s="51" t="s">
        <v>1312</v>
      </c>
      <c r="H208" s="45" t="s">
        <v>1305</v>
      </c>
      <c r="I208" s="46">
        <v>90.7</v>
      </c>
      <c r="J208" s="47">
        <v>37941</v>
      </c>
      <c r="K208" s="49" t="s">
        <v>1500</v>
      </c>
    </row>
    <row r="209" ht="24" customHeight="1" spans="1:11">
      <c r="A209" s="42"/>
      <c r="B209" s="54" t="s">
        <v>1501</v>
      </c>
      <c r="C209" s="41" t="s">
        <v>322</v>
      </c>
      <c r="D209" s="41" t="s">
        <v>1302</v>
      </c>
      <c r="E209" s="41" t="s">
        <v>1303</v>
      </c>
      <c r="F209" s="41"/>
      <c r="G209" s="51" t="s">
        <v>1312</v>
      </c>
      <c r="H209" s="45" t="s">
        <v>1305</v>
      </c>
      <c r="I209" s="46">
        <v>90.7</v>
      </c>
      <c r="J209" s="47">
        <v>37941</v>
      </c>
      <c r="K209" s="50" t="s">
        <v>1500</v>
      </c>
    </row>
    <row r="210" ht="24" customHeight="1" spans="1:11">
      <c r="A210" s="42">
        <v>150</v>
      </c>
      <c r="B210" s="68" t="s">
        <v>1502</v>
      </c>
      <c r="C210" s="70" t="s">
        <v>1503</v>
      </c>
      <c r="D210" s="41" t="s">
        <v>1302</v>
      </c>
      <c r="E210" s="41" t="s">
        <v>1303</v>
      </c>
      <c r="F210" s="41"/>
      <c r="G210" s="51" t="s">
        <v>1312</v>
      </c>
      <c r="H210" s="45" t="s">
        <v>1305</v>
      </c>
      <c r="I210" s="41">
        <v>155.06</v>
      </c>
      <c r="J210" s="47">
        <v>37941</v>
      </c>
      <c r="K210" s="71" t="s">
        <v>1504</v>
      </c>
    </row>
    <row r="211" ht="24" customHeight="1" spans="1:11">
      <c r="A211" s="42">
        <v>151</v>
      </c>
      <c r="B211" s="54" t="s">
        <v>1505</v>
      </c>
      <c r="C211" s="41" t="s">
        <v>13</v>
      </c>
      <c r="D211" s="41" t="s">
        <v>1302</v>
      </c>
      <c r="E211" s="41" t="s">
        <v>1303</v>
      </c>
      <c r="F211" s="41"/>
      <c r="G211" s="44" t="s">
        <v>1304</v>
      </c>
      <c r="H211" s="45" t="s">
        <v>1305</v>
      </c>
      <c r="I211" s="46">
        <v>130.7</v>
      </c>
      <c r="J211" s="47">
        <v>37941</v>
      </c>
      <c r="K211" s="48" t="s">
        <v>1506</v>
      </c>
    </row>
    <row r="212" ht="24" customHeight="1" spans="1:11">
      <c r="A212" s="42">
        <v>152</v>
      </c>
      <c r="B212" s="54" t="s">
        <v>1507</v>
      </c>
      <c r="C212" s="41" t="s">
        <v>1307</v>
      </c>
      <c r="D212" s="41" t="s">
        <v>1308</v>
      </c>
      <c r="E212" s="41" t="s">
        <v>1309</v>
      </c>
      <c r="F212" s="41"/>
      <c r="G212" s="51" t="s">
        <v>1312</v>
      </c>
      <c r="H212" s="45" t="s">
        <v>1305</v>
      </c>
      <c r="I212" s="46">
        <v>130.7</v>
      </c>
      <c r="J212" s="47">
        <v>37941</v>
      </c>
      <c r="K212" s="49" t="s">
        <v>1508</v>
      </c>
    </row>
    <row r="213" ht="24" customHeight="1" spans="1:11">
      <c r="A213" s="42"/>
      <c r="B213" s="54" t="s">
        <v>1507</v>
      </c>
      <c r="C213" s="41" t="s">
        <v>322</v>
      </c>
      <c r="D213" s="41" t="s">
        <v>1302</v>
      </c>
      <c r="E213" s="41" t="s">
        <v>1303</v>
      </c>
      <c r="F213" s="41"/>
      <c r="G213" s="44" t="s">
        <v>1304</v>
      </c>
      <c r="H213" s="45" t="s">
        <v>1305</v>
      </c>
      <c r="I213" s="46">
        <v>130.7</v>
      </c>
      <c r="J213" s="47">
        <v>37941</v>
      </c>
      <c r="K213" s="50" t="s">
        <v>1508</v>
      </c>
    </row>
    <row r="214" ht="24" customHeight="1" spans="1:11">
      <c r="A214" s="42">
        <v>153</v>
      </c>
      <c r="B214" s="54" t="s">
        <v>1509</v>
      </c>
      <c r="C214" s="41" t="s">
        <v>13</v>
      </c>
      <c r="D214" s="41" t="s">
        <v>1302</v>
      </c>
      <c r="E214" s="41" t="s">
        <v>1303</v>
      </c>
      <c r="F214" s="41"/>
      <c r="G214" s="51" t="s">
        <v>1312</v>
      </c>
      <c r="H214" s="45" t="s">
        <v>1305</v>
      </c>
      <c r="I214" s="46">
        <v>110.7</v>
      </c>
      <c r="J214" s="47">
        <v>37941</v>
      </c>
      <c r="K214" s="48" t="s">
        <v>1510</v>
      </c>
    </row>
    <row r="215" ht="24" customHeight="1" spans="1:11">
      <c r="A215" s="42">
        <v>154</v>
      </c>
      <c r="B215" s="54" t="s">
        <v>1511</v>
      </c>
      <c r="C215" s="41" t="s">
        <v>1307</v>
      </c>
      <c r="D215" s="41" t="s">
        <v>1308</v>
      </c>
      <c r="E215" s="41" t="s">
        <v>1309</v>
      </c>
      <c r="F215" s="41"/>
      <c r="G215" s="51" t="s">
        <v>1312</v>
      </c>
      <c r="H215" s="45" t="s">
        <v>1305</v>
      </c>
      <c r="I215" s="46">
        <v>110.7</v>
      </c>
      <c r="J215" s="47">
        <v>37941</v>
      </c>
      <c r="K215" s="49" t="s">
        <v>1510</v>
      </c>
    </row>
    <row r="216" ht="24" customHeight="1" spans="1:11">
      <c r="A216" s="42"/>
      <c r="B216" s="54" t="s">
        <v>1511</v>
      </c>
      <c r="C216" s="41" t="s">
        <v>322</v>
      </c>
      <c r="D216" s="41" t="s">
        <v>1302</v>
      </c>
      <c r="E216" s="41" t="s">
        <v>1303</v>
      </c>
      <c r="F216" s="41"/>
      <c r="G216" s="44" t="s">
        <v>1304</v>
      </c>
      <c r="H216" s="45" t="s">
        <v>1305</v>
      </c>
      <c r="I216" s="46">
        <v>110.7</v>
      </c>
      <c r="J216" s="47">
        <v>37941</v>
      </c>
      <c r="K216" s="50" t="s">
        <v>1510</v>
      </c>
    </row>
    <row r="217" ht="24" customHeight="1" spans="1:11">
      <c r="A217" s="42">
        <v>155</v>
      </c>
      <c r="B217" s="54" t="s">
        <v>1512</v>
      </c>
      <c r="C217" s="41" t="s">
        <v>13</v>
      </c>
      <c r="D217" s="41" t="s">
        <v>1302</v>
      </c>
      <c r="E217" s="41" t="s">
        <v>1303</v>
      </c>
      <c r="F217" s="41"/>
      <c r="G217" s="44" t="s">
        <v>1304</v>
      </c>
      <c r="H217" s="45" t="s">
        <v>1305</v>
      </c>
      <c r="I217" s="46">
        <v>110.7</v>
      </c>
      <c r="J217" s="47">
        <v>37941</v>
      </c>
      <c r="K217" s="48" t="s">
        <v>1513</v>
      </c>
    </row>
    <row r="218" ht="24" customHeight="1" spans="1:11">
      <c r="A218" s="42">
        <v>156</v>
      </c>
      <c r="B218" s="54" t="s">
        <v>1514</v>
      </c>
      <c r="C218" s="41" t="s">
        <v>1307</v>
      </c>
      <c r="D218" s="41" t="s">
        <v>1308</v>
      </c>
      <c r="E218" s="41" t="s">
        <v>1309</v>
      </c>
      <c r="F218" s="41"/>
      <c r="G218" s="51" t="s">
        <v>1312</v>
      </c>
      <c r="H218" s="45" t="s">
        <v>1305</v>
      </c>
      <c r="I218" s="46">
        <v>110.7</v>
      </c>
      <c r="J218" s="47">
        <v>37941</v>
      </c>
      <c r="K218" s="49" t="s">
        <v>1513</v>
      </c>
    </row>
    <row r="219" ht="24" customHeight="1" spans="1:11">
      <c r="A219" s="42"/>
      <c r="B219" s="54" t="s">
        <v>1514</v>
      </c>
      <c r="C219" s="41" t="s">
        <v>322</v>
      </c>
      <c r="D219" s="41" t="s">
        <v>1302</v>
      </c>
      <c r="E219" s="41" t="s">
        <v>1303</v>
      </c>
      <c r="F219" s="41"/>
      <c r="G219" s="44" t="s">
        <v>1304</v>
      </c>
      <c r="H219" s="45" t="s">
        <v>1305</v>
      </c>
      <c r="I219" s="46">
        <v>110.7</v>
      </c>
      <c r="J219" s="47">
        <v>37941</v>
      </c>
      <c r="K219" s="50" t="s">
        <v>1513</v>
      </c>
    </row>
    <row r="220" ht="24" customHeight="1" spans="1:11">
      <c r="A220" s="42">
        <v>157</v>
      </c>
      <c r="B220" s="54" t="s">
        <v>1515</v>
      </c>
      <c r="C220" s="41" t="s">
        <v>13</v>
      </c>
      <c r="D220" s="41" t="s">
        <v>1302</v>
      </c>
      <c r="E220" s="41" t="s">
        <v>1303</v>
      </c>
      <c r="F220" s="41"/>
      <c r="G220" s="44" t="s">
        <v>1304</v>
      </c>
      <c r="H220" s="45" t="s">
        <v>1305</v>
      </c>
      <c r="I220" s="46">
        <v>90.7</v>
      </c>
      <c r="J220" s="47">
        <v>37941</v>
      </c>
      <c r="K220" s="48" t="s">
        <v>1516</v>
      </c>
    </row>
    <row r="221" ht="24" customHeight="1" spans="1:11">
      <c r="A221" s="42">
        <v>158</v>
      </c>
      <c r="B221" s="54" t="s">
        <v>1517</v>
      </c>
      <c r="C221" s="41" t="s">
        <v>1307</v>
      </c>
      <c r="D221" s="41" t="s">
        <v>1308</v>
      </c>
      <c r="E221" s="41" t="s">
        <v>1309</v>
      </c>
      <c r="F221" s="41"/>
      <c r="G221" s="51" t="s">
        <v>1312</v>
      </c>
      <c r="H221" s="45" t="s">
        <v>1305</v>
      </c>
      <c r="I221" s="46">
        <v>90.7</v>
      </c>
      <c r="J221" s="47">
        <v>37941</v>
      </c>
      <c r="K221" s="49" t="s">
        <v>1516</v>
      </c>
    </row>
    <row r="222" ht="24" customHeight="1" spans="1:11">
      <c r="A222" s="42"/>
      <c r="B222" s="54" t="s">
        <v>1517</v>
      </c>
      <c r="C222" s="41" t="s">
        <v>322</v>
      </c>
      <c r="D222" s="41" t="s">
        <v>1302</v>
      </c>
      <c r="E222" s="41" t="s">
        <v>1303</v>
      </c>
      <c r="F222" s="41"/>
      <c r="G222" s="44" t="s">
        <v>1304</v>
      </c>
      <c r="H222" s="45" t="s">
        <v>1305</v>
      </c>
      <c r="I222" s="46">
        <v>90.7</v>
      </c>
      <c r="J222" s="47">
        <v>37941</v>
      </c>
      <c r="K222" s="50" t="s">
        <v>1516</v>
      </c>
    </row>
    <row r="223" ht="24" customHeight="1" spans="1:11">
      <c r="A223" s="42">
        <v>159</v>
      </c>
      <c r="B223" s="54" t="s">
        <v>1518</v>
      </c>
      <c r="C223" s="41" t="s">
        <v>13</v>
      </c>
      <c r="D223" s="41" t="s">
        <v>1302</v>
      </c>
      <c r="E223" s="41" t="s">
        <v>1316</v>
      </c>
      <c r="F223" s="41"/>
      <c r="G223" s="51" t="s">
        <v>1317</v>
      </c>
      <c r="H223" s="45"/>
      <c r="I223" s="46">
        <v>30.7</v>
      </c>
      <c r="J223" s="47">
        <v>37941</v>
      </c>
      <c r="K223" s="48" t="s">
        <v>1519</v>
      </c>
    </row>
    <row r="224" ht="24" customHeight="1" spans="1:11">
      <c r="A224" s="42">
        <v>160</v>
      </c>
      <c r="B224" s="54" t="s">
        <v>1520</v>
      </c>
      <c r="C224" s="41" t="s">
        <v>1307</v>
      </c>
      <c r="D224" s="41" t="s">
        <v>1308</v>
      </c>
      <c r="E224" s="41" t="s">
        <v>1359</v>
      </c>
      <c r="F224" s="41"/>
      <c r="G224" s="51" t="s">
        <v>1317</v>
      </c>
      <c r="H224" s="45"/>
      <c r="I224" s="46">
        <v>30.7</v>
      </c>
      <c r="J224" s="47">
        <v>37941</v>
      </c>
      <c r="K224" s="49" t="s">
        <v>1519</v>
      </c>
    </row>
    <row r="225" ht="24" customHeight="1" spans="1:11">
      <c r="A225" s="42"/>
      <c r="B225" s="54" t="s">
        <v>1520</v>
      </c>
      <c r="C225" s="41" t="s">
        <v>322</v>
      </c>
      <c r="D225" s="41" t="s">
        <v>1302</v>
      </c>
      <c r="E225" s="41" t="s">
        <v>1316</v>
      </c>
      <c r="F225" s="41"/>
      <c r="G225" s="51" t="s">
        <v>1317</v>
      </c>
      <c r="H225" s="45"/>
      <c r="I225" s="46">
        <v>30.7</v>
      </c>
      <c r="J225" s="47"/>
      <c r="K225" s="50"/>
    </row>
    <row r="226" ht="24" customHeight="1" spans="1:11">
      <c r="A226" s="42">
        <v>161</v>
      </c>
      <c r="B226" s="54" t="s">
        <v>1521</v>
      </c>
      <c r="C226" s="41" t="s">
        <v>13</v>
      </c>
      <c r="D226" s="41" t="s">
        <v>1302</v>
      </c>
      <c r="E226" s="41" t="s">
        <v>1303</v>
      </c>
      <c r="F226" s="41"/>
      <c r="G226" s="51" t="s">
        <v>1312</v>
      </c>
      <c r="H226" s="45" t="s">
        <v>1305</v>
      </c>
      <c r="I226" s="46">
        <v>210.7</v>
      </c>
      <c r="J226" s="47">
        <v>37941</v>
      </c>
      <c r="K226" s="48" t="s">
        <v>1522</v>
      </c>
    </row>
    <row r="227" ht="24" customHeight="1" spans="1:11">
      <c r="A227" s="42">
        <v>162</v>
      </c>
      <c r="B227" s="54" t="s">
        <v>1523</v>
      </c>
      <c r="C227" s="41" t="s">
        <v>1307</v>
      </c>
      <c r="D227" s="41" t="s">
        <v>1308</v>
      </c>
      <c r="E227" s="41" t="s">
        <v>1309</v>
      </c>
      <c r="F227" s="41"/>
      <c r="G227" s="51" t="s">
        <v>1312</v>
      </c>
      <c r="H227" s="45" t="s">
        <v>1305</v>
      </c>
      <c r="I227" s="46">
        <v>210.7</v>
      </c>
      <c r="J227" s="47">
        <v>37941</v>
      </c>
      <c r="K227" s="49" t="s">
        <v>1522</v>
      </c>
    </row>
    <row r="228" ht="24" customHeight="1" spans="1:11">
      <c r="A228" s="42"/>
      <c r="B228" s="54" t="s">
        <v>1523</v>
      </c>
      <c r="C228" s="41" t="s">
        <v>322</v>
      </c>
      <c r="D228" s="41" t="s">
        <v>1302</v>
      </c>
      <c r="E228" s="41" t="s">
        <v>1303</v>
      </c>
      <c r="F228" s="41"/>
      <c r="G228" s="51" t="s">
        <v>1312</v>
      </c>
      <c r="H228" s="45" t="s">
        <v>1305</v>
      </c>
      <c r="I228" s="46">
        <v>210.7</v>
      </c>
      <c r="J228" s="47"/>
      <c r="K228" s="50"/>
    </row>
    <row r="229" ht="24" customHeight="1" spans="1:11">
      <c r="A229" s="42">
        <v>163</v>
      </c>
      <c r="B229" s="54" t="s">
        <v>1524</v>
      </c>
      <c r="C229" s="41" t="s">
        <v>13</v>
      </c>
      <c r="D229" s="41" t="s">
        <v>1302</v>
      </c>
      <c r="E229" s="41" t="s">
        <v>1316</v>
      </c>
      <c r="F229" s="41"/>
      <c r="G229" s="51" t="s">
        <v>1317</v>
      </c>
      <c r="H229" s="45"/>
      <c r="I229" s="46">
        <v>37</v>
      </c>
      <c r="J229" s="47">
        <v>37941</v>
      </c>
      <c r="K229" s="48" t="s">
        <v>1525</v>
      </c>
    </row>
    <row r="230" ht="24" customHeight="1" spans="1:11">
      <c r="A230" s="42">
        <v>164</v>
      </c>
      <c r="B230" s="54" t="s">
        <v>1526</v>
      </c>
      <c r="C230" s="41" t="s">
        <v>1307</v>
      </c>
      <c r="D230" s="41" t="s">
        <v>1308</v>
      </c>
      <c r="E230" s="41" t="s">
        <v>1359</v>
      </c>
      <c r="F230" s="41"/>
      <c r="G230" s="51" t="s">
        <v>1317</v>
      </c>
      <c r="H230" s="45"/>
      <c r="I230" s="46">
        <v>37</v>
      </c>
      <c r="J230" s="47">
        <v>37941</v>
      </c>
      <c r="K230" s="49" t="s">
        <v>1525</v>
      </c>
    </row>
    <row r="231" ht="24" customHeight="1" spans="1:11">
      <c r="A231" s="42"/>
      <c r="B231" s="54" t="s">
        <v>1526</v>
      </c>
      <c r="C231" s="41" t="s">
        <v>322</v>
      </c>
      <c r="D231" s="41" t="s">
        <v>1302</v>
      </c>
      <c r="E231" s="41" t="s">
        <v>1303</v>
      </c>
      <c r="F231" s="41"/>
      <c r="G231" s="51" t="s">
        <v>1312</v>
      </c>
      <c r="H231" s="45" t="s">
        <v>1305</v>
      </c>
      <c r="I231" s="46">
        <v>37</v>
      </c>
      <c r="J231" s="47"/>
      <c r="K231" s="50"/>
    </row>
    <row r="232" ht="24" customHeight="1" spans="1:11">
      <c r="A232" s="42">
        <v>165</v>
      </c>
      <c r="B232" s="54" t="s">
        <v>1527</v>
      </c>
      <c r="C232" s="41" t="s">
        <v>13</v>
      </c>
      <c r="D232" s="41" t="s">
        <v>1302</v>
      </c>
      <c r="E232" s="41" t="s">
        <v>1303</v>
      </c>
      <c r="F232" s="41"/>
      <c r="G232" s="51" t="s">
        <v>1312</v>
      </c>
      <c r="H232" s="45" t="s">
        <v>1305</v>
      </c>
      <c r="I232" s="46">
        <v>477.61</v>
      </c>
      <c r="J232" s="47">
        <v>37941</v>
      </c>
      <c r="K232" s="48" t="s">
        <v>1528</v>
      </c>
    </row>
    <row r="233" ht="24" customHeight="1" spans="1:11">
      <c r="A233" s="42">
        <v>166</v>
      </c>
      <c r="B233" s="54" t="s">
        <v>1529</v>
      </c>
      <c r="C233" s="41" t="s">
        <v>1307</v>
      </c>
      <c r="D233" s="41" t="s">
        <v>1308</v>
      </c>
      <c r="E233" s="41" t="s">
        <v>1309</v>
      </c>
      <c r="F233" s="41"/>
      <c r="G233" s="51" t="s">
        <v>1312</v>
      </c>
      <c r="H233" s="45" t="s">
        <v>1305</v>
      </c>
      <c r="I233" s="46">
        <v>477.61</v>
      </c>
      <c r="J233" s="47">
        <v>37941</v>
      </c>
      <c r="K233" s="49" t="s">
        <v>1528</v>
      </c>
    </row>
    <row r="234" ht="24" customHeight="1" spans="1:11">
      <c r="A234" s="42"/>
      <c r="B234" s="54" t="s">
        <v>1529</v>
      </c>
      <c r="C234" s="41" t="s">
        <v>322</v>
      </c>
      <c r="D234" s="41" t="s">
        <v>1302</v>
      </c>
      <c r="E234" s="41" t="s">
        <v>1303</v>
      </c>
      <c r="F234" s="41"/>
      <c r="G234" s="51" t="s">
        <v>1312</v>
      </c>
      <c r="H234" s="45" t="s">
        <v>1305</v>
      </c>
      <c r="I234" s="46">
        <v>477.61</v>
      </c>
      <c r="J234" s="47"/>
      <c r="K234" s="50"/>
    </row>
    <row r="235" ht="24" customHeight="1" spans="1:11">
      <c r="A235" s="42">
        <v>167</v>
      </c>
      <c r="B235" s="54" t="s">
        <v>1530</v>
      </c>
      <c r="C235" s="41" t="s">
        <v>13</v>
      </c>
      <c r="D235" s="41" t="s">
        <v>1302</v>
      </c>
      <c r="E235" s="41" t="s">
        <v>1303</v>
      </c>
      <c r="F235" s="41"/>
      <c r="G235" s="44" t="s">
        <v>1304</v>
      </c>
      <c r="H235" s="45" t="s">
        <v>1305</v>
      </c>
      <c r="I235" s="46">
        <v>242.06</v>
      </c>
      <c r="J235" s="47">
        <v>37941</v>
      </c>
      <c r="K235" s="48" t="s">
        <v>1531</v>
      </c>
    </row>
    <row r="236" ht="24" customHeight="1" spans="1:11">
      <c r="A236" s="42">
        <v>168</v>
      </c>
      <c r="B236" s="54" t="s">
        <v>1532</v>
      </c>
      <c r="C236" s="41" t="s">
        <v>1307</v>
      </c>
      <c r="D236" s="41" t="s">
        <v>1308</v>
      </c>
      <c r="E236" s="41" t="s">
        <v>1309</v>
      </c>
      <c r="F236" s="41"/>
      <c r="G236" s="51" t="s">
        <v>1312</v>
      </c>
      <c r="H236" s="45" t="s">
        <v>1305</v>
      </c>
      <c r="I236" s="46">
        <v>242.06</v>
      </c>
      <c r="J236" s="47">
        <v>37941</v>
      </c>
      <c r="K236" s="49" t="s">
        <v>1531</v>
      </c>
    </row>
    <row r="237" ht="24" customHeight="1" spans="1:11">
      <c r="A237" s="42"/>
      <c r="B237" s="54" t="s">
        <v>1532</v>
      </c>
      <c r="C237" s="41" t="s">
        <v>322</v>
      </c>
      <c r="D237" s="41" t="s">
        <v>1302</v>
      </c>
      <c r="E237" s="41" t="s">
        <v>1303</v>
      </c>
      <c r="F237" s="41"/>
      <c r="G237" s="44" t="s">
        <v>1304</v>
      </c>
      <c r="H237" s="45" t="s">
        <v>1305</v>
      </c>
      <c r="I237" s="46">
        <v>242.06</v>
      </c>
      <c r="J237" s="47"/>
      <c r="K237" s="50"/>
    </row>
    <row r="238" ht="24" customHeight="1" spans="1:11">
      <c r="A238" s="42">
        <v>169</v>
      </c>
      <c r="B238" s="54" t="s">
        <v>1533</v>
      </c>
      <c r="C238" s="41" t="s">
        <v>13</v>
      </c>
      <c r="D238" s="41" t="s">
        <v>1302</v>
      </c>
      <c r="E238" s="41" t="s">
        <v>1303</v>
      </c>
      <c r="F238" s="41"/>
      <c r="G238" s="51" t="s">
        <v>1312</v>
      </c>
      <c r="H238" s="45" t="s">
        <v>1305</v>
      </c>
      <c r="I238" s="46">
        <v>93.06</v>
      </c>
      <c r="J238" s="47">
        <v>37941</v>
      </c>
      <c r="K238" s="48" t="s">
        <v>1534</v>
      </c>
    </row>
    <row r="239" ht="24" customHeight="1" spans="1:11">
      <c r="A239" s="42">
        <v>170</v>
      </c>
      <c r="B239" s="54" t="s">
        <v>1535</v>
      </c>
      <c r="C239" s="41" t="s">
        <v>1307</v>
      </c>
      <c r="D239" s="41" t="s">
        <v>1308</v>
      </c>
      <c r="E239" s="41" t="s">
        <v>1309</v>
      </c>
      <c r="F239" s="41"/>
      <c r="G239" s="51" t="s">
        <v>1312</v>
      </c>
      <c r="H239" s="45" t="s">
        <v>1305</v>
      </c>
      <c r="I239" s="46">
        <v>93.06</v>
      </c>
      <c r="J239" s="47">
        <v>37941</v>
      </c>
      <c r="K239" s="49" t="s">
        <v>1534</v>
      </c>
    </row>
    <row r="240" ht="24" customHeight="1" spans="1:11">
      <c r="A240" s="42"/>
      <c r="B240" s="54" t="s">
        <v>1535</v>
      </c>
      <c r="C240" s="41" t="s">
        <v>322</v>
      </c>
      <c r="D240" s="41" t="s">
        <v>1302</v>
      </c>
      <c r="E240" s="41" t="s">
        <v>1303</v>
      </c>
      <c r="F240" s="41"/>
      <c r="G240" s="51" t="s">
        <v>1312</v>
      </c>
      <c r="H240" s="45" t="s">
        <v>1305</v>
      </c>
      <c r="I240" s="46">
        <v>93.06</v>
      </c>
      <c r="J240" s="47"/>
      <c r="K240" s="50"/>
    </row>
    <row r="241" ht="24" customHeight="1" spans="1:11">
      <c r="A241" s="42">
        <v>171</v>
      </c>
      <c r="B241" s="54" t="s">
        <v>1536</v>
      </c>
      <c r="C241" s="41" t="s">
        <v>13</v>
      </c>
      <c r="D241" s="41" t="s">
        <v>1302</v>
      </c>
      <c r="E241" s="41" t="s">
        <v>1303</v>
      </c>
      <c r="F241" s="41"/>
      <c r="G241" s="44" t="s">
        <v>1304</v>
      </c>
      <c r="H241" s="45" t="s">
        <v>1305</v>
      </c>
      <c r="I241" s="46">
        <v>129.03</v>
      </c>
      <c r="J241" s="47">
        <v>37941</v>
      </c>
      <c r="K241" s="48" t="s">
        <v>1537</v>
      </c>
    </row>
    <row r="242" ht="24" customHeight="1" spans="1:11">
      <c r="A242" s="42">
        <v>172</v>
      </c>
      <c r="B242" s="54" t="s">
        <v>1538</v>
      </c>
      <c r="C242" s="41" t="s">
        <v>1307</v>
      </c>
      <c r="D242" s="41" t="s">
        <v>1308</v>
      </c>
      <c r="E242" s="41" t="s">
        <v>1309</v>
      </c>
      <c r="F242" s="41"/>
      <c r="G242" s="51" t="s">
        <v>1312</v>
      </c>
      <c r="H242" s="45" t="s">
        <v>1305</v>
      </c>
      <c r="I242" s="46">
        <v>129.03</v>
      </c>
      <c r="J242" s="47">
        <v>37941</v>
      </c>
      <c r="K242" s="49" t="s">
        <v>1537</v>
      </c>
    </row>
    <row r="243" ht="24" customHeight="1" spans="1:11">
      <c r="A243" s="42"/>
      <c r="B243" s="54" t="s">
        <v>1538</v>
      </c>
      <c r="C243" s="41" t="s">
        <v>322</v>
      </c>
      <c r="D243" s="41" t="s">
        <v>1302</v>
      </c>
      <c r="E243" s="41" t="s">
        <v>1303</v>
      </c>
      <c r="F243" s="41"/>
      <c r="G243" s="44" t="s">
        <v>1304</v>
      </c>
      <c r="H243" s="45" t="s">
        <v>1305</v>
      </c>
      <c r="I243" s="46">
        <v>129.03</v>
      </c>
      <c r="J243" s="47"/>
      <c r="K243" s="50"/>
    </row>
    <row r="244" ht="24" customHeight="1" spans="1:11">
      <c r="A244" s="42">
        <v>173</v>
      </c>
      <c r="B244" s="54" t="s">
        <v>1539</v>
      </c>
      <c r="C244" s="41" t="s">
        <v>13</v>
      </c>
      <c r="D244" s="41" t="s">
        <v>1302</v>
      </c>
      <c r="E244" s="41" t="s">
        <v>1303</v>
      </c>
      <c r="F244" s="41"/>
      <c r="G244" s="44" t="s">
        <v>1304</v>
      </c>
      <c r="H244" s="45" t="s">
        <v>1305</v>
      </c>
      <c r="I244" s="46">
        <v>199</v>
      </c>
      <c r="J244" s="47">
        <v>37941</v>
      </c>
      <c r="K244" s="48" t="s">
        <v>1540</v>
      </c>
    </row>
    <row r="245" ht="24" customHeight="1" spans="1:11">
      <c r="A245" s="42">
        <v>174</v>
      </c>
      <c r="B245" s="54" t="s">
        <v>1541</v>
      </c>
      <c r="C245" s="41" t="s">
        <v>1307</v>
      </c>
      <c r="D245" s="41" t="s">
        <v>1308</v>
      </c>
      <c r="E245" s="41" t="s">
        <v>1309</v>
      </c>
      <c r="F245" s="41"/>
      <c r="G245" s="51" t="s">
        <v>1312</v>
      </c>
      <c r="H245" s="45" t="s">
        <v>1305</v>
      </c>
      <c r="I245" s="46">
        <v>222</v>
      </c>
      <c r="J245" s="47">
        <v>37941</v>
      </c>
      <c r="K245" s="49" t="s">
        <v>1542</v>
      </c>
    </row>
    <row r="246" ht="24" customHeight="1" spans="1:11">
      <c r="A246" s="42"/>
      <c r="B246" s="54" t="s">
        <v>1541</v>
      </c>
      <c r="C246" s="41" t="s">
        <v>322</v>
      </c>
      <c r="D246" s="41" t="s">
        <v>1302</v>
      </c>
      <c r="E246" s="41" t="s">
        <v>1303</v>
      </c>
      <c r="F246" s="41"/>
      <c r="G246" s="44" t="s">
        <v>1304</v>
      </c>
      <c r="H246" s="45" t="s">
        <v>1305</v>
      </c>
      <c r="I246" s="46">
        <v>222</v>
      </c>
      <c r="J246" s="47"/>
      <c r="K246" s="50"/>
    </row>
    <row r="247" ht="24" customHeight="1" spans="1:11">
      <c r="A247" s="42">
        <v>175</v>
      </c>
      <c r="B247" s="54" t="s">
        <v>1543</v>
      </c>
      <c r="C247" s="41" t="s">
        <v>13</v>
      </c>
      <c r="D247" s="41" t="s">
        <v>1302</v>
      </c>
      <c r="E247" s="41" t="s">
        <v>1303</v>
      </c>
      <c r="F247" s="41"/>
      <c r="G247" s="44" t="s">
        <v>1304</v>
      </c>
      <c r="H247" s="45" t="s">
        <v>1305</v>
      </c>
      <c r="I247" s="46">
        <v>31.16</v>
      </c>
      <c r="J247" s="47">
        <v>37941</v>
      </c>
      <c r="K247" s="48" t="s">
        <v>1544</v>
      </c>
    </row>
    <row r="248" ht="24" customHeight="1" spans="1:11">
      <c r="A248" s="42">
        <v>176</v>
      </c>
      <c r="B248" s="54" t="s">
        <v>1545</v>
      </c>
      <c r="C248" s="41" t="s">
        <v>1307</v>
      </c>
      <c r="D248" s="41" t="s">
        <v>1308</v>
      </c>
      <c r="E248" s="41" t="s">
        <v>1309</v>
      </c>
      <c r="F248" s="41"/>
      <c r="G248" s="51" t="s">
        <v>1312</v>
      </c>
      <c r="H248" s="45" t="s">
        <v>1305</v>
      </c>
      <c r="I248" s="46">
        <v>31.16</v>
      </c>
      <c r="J248" s="47">
        <v>37941</v>
      </c>
      <c r="K248" s="49" t="s">
        <v>1546</v>
      </c>
    </row>
    <row r="249" ht="24" customHeight="1" spans="1:11">
      <c r="A249" s="42"/>
      <c r="B249" s="54" t="s">
        <v>1545</v>
      </c>
      <c r="C249" s="41" t="s">
        <v>322</v>
      </c>
      <c r="D249" s="41" t="s">
        <v>1302</v>
      </c>
      <c r="E249" s="41" t="s">
        <v>1303</v>
      </c>
      <c r="F249" s="41"/>
      <c r="G249" s="44" t="s">
        <v>1304</v>
      </c>
      <c r="H249" s="45" t="s">
        <v>1305</v>
      </c>
      <c r="I249" s="46">
        <v>31.16</v>
      </c>
      <c r="J249" s="47"/>
      <c r="K249" s="50"/>
    </row>
    <row r="250" ht="24" customHeight="1" spans="1:11">
      <c r="A250" s="42">
        <v>177</v>
      </c>
      <c r="B250" s="54" t="s">
        <v>1547</v>
      </c>
      <c r="C250" s="41" t="s">
        <v>13</v>
      </c>
      <c r="D250" s="41" t="s">
        <v>1302</v>
      </c>
      <c r="E250" s="41" t="s">
        <v>1303</v>
      </c>
      <c r="F250" s="41"/>
      <c r="G250" s="44" t="s">
        <v>1304</v>
      </c>
      <c r="H250" s="45" t="s">
        <v>1305</v>
      </c>
      <c r="I250" s="46">
        <v>287.5</v>
      </c>
      <c r="J250" s="47">
        <v>37941</v>
      </c>
      <c r="K250" s="48" t="s">
        <v>1548</v>
      </c>
    </row>
    <row r="251" ht="24" customHeight="1" spans="1:11">
      <c r="A251" s="42">
        <v>178</v>
      </c>
      <c r="B251" s="54" t="s">
        <v>1549</v>
      </c>
      <c r="C251" s="41" t="s">
        <v>1307</v>
      </c>
      <c r="D251" s="41" t="s">
        <v>1308</v>
      </c>
      <c r="E251" s="41" t="s">
        <v>1309</v>
      </c>
      <c r="F251" s="41"/>
      <c r="G251" s="51" t="s">
        <v>1312</v>
      </c>
      <c r="H251" s="45" t="s">
        <v>1305</v>
      </c>
      <c r="I251" s="46">
        <v>250</v>
      </c>
      <c r="J251" s="47">
        <v>37941</v>
      </c>
      <c r="K251" s="49" t="s">
        <v>1550</v>
      </c>
    </row>
    <row r="252" ht="24" customHeight="1" spans="1:11">
      <c r="A252" s="42"/>
      <c r="B252" s="54" t="s">
        <v>1549</v>
      </c>
      <c r="C252" s="41" t="s">
        <v>322</v>
      </c>
      <c r="D252" s="41" t="s">
        <v>1302</v>
      </c>
      <c r="E252" s="41" t="s">
        <v>1303</v>
      </c>
      <c r="F252" s="41"/>
      <c r="G252" s="44" t="s">
        <v>1304</v>
      </c>
      <c r="H252" s="45" t="s">
        <v>1305</v>
      </c>
      <c r="I252" s="46">
        <v>250</v>
      </c>
      <c r="J252" s="47"/>
      <c r="K252" s="50"/>
    </row>
    <row r="253" ht="24" customHeight="1" spans="1:11">
      <c r="A253" s="42">
        <v>179</v>
      </c>
      <c r="B253" s="54" t="s">
        <v>1551</v>
      </c>
      <c r="C253" s="41" t="s">
        <v>13</v>
      </c>
      <c r="D253" s="41" t="s">
        <v>1302</v>
      </c>
      <c r="E253" s="41" t="s">
        <v>1303</v>
      </c>
      <c r="F253" s="41"/>
      <c r="G253" s="44" t="s">
        <v>1304</v>
      </c>
      <c r="H253" s="45" t="s">
        <v>1305</v>
      </c>
      <c r="I253" s="46">
        <v>776</v>
      </c>
      <c r="J253" s="47">
        <v>37941</v>
      </c>
      <c r="K253" s="48" t="s">
        <v>1552</v>
      </c>
    </row>
    <row r="254" ht="24" customHeight="1" spans="1:11">
      <c r="A254" s="42">
        <v>180</v>
      </c>
      <c r="B254" s="54" t="s">
        <v>1553</v>
      </c>
      <c r="C254" s="41" t="s">
        <v>1307</v>
      </c>
      <c r="D254" s="41" t="s">
        <v>1308</v>
      </c>
      <c r="E254" s="41" t="s">
        <v>1309</v>
      </c>
      <c r="F254" s="41"/>
      <c r="G254" s="51" t="s">
        <v>1312</v>
      </c>
      <c r="H254" s="45" t="s">
        <v>1305</v>
      </c>
      <c r="I254" s="46">
        <v>655</v>
      </c>
      <c r="J254" s="47">
        <v>37941</v>
      </c>
      <c r="K254" s="49" t="s">
        <v>1554</v>
      </c>
    </row>
    <row r="255" ht="24" customHeight="1" spans="1:11">
      <c r="A255" s="42"/>
      <c r="B255" s="54" t="s">
        <v>1553</v>
      </c>
      <c r="C255" s="41" t="s">
        <v>322</v>
      </c>
      <c r="D255" s="41" t="s">
        <v>1302</v>
      </c>
      <c r="E255" s="41" t="s">
        <v>1303</v>
      </c>
      <c r="F255" s="41"/>
      <c r="G255" s="44" t="s">
        <v>1304</v>
      </c>
      <c r="H255" s="45" t="s">
        <v>1305</v>
      </c>
      <c r="I255" s="46">
        <v>655</v>
      </c>
      <c r="J255" s="47"/>
      <c r="K255" s="50"/>
    </row>
    <row r="256" ht="24" customHeight="1" spans="1:11">
      <c r="A256" s="42">
        <v>181</v>
      </c>
      <c r="B256" s="54" t="s">
        <v>1555</v>
      </c>
      <c r="C256" s="41" t="s">
        <v>13</v>
      </c>
      <c r="D256" s="41" t="s">
        <v>1302</v>
      </c>
      <c r="E256" s="41" t="s">
        <v>1303</v>
      </c>
      <c r="F256" s="41"/>
      <c r="G256" s="44" t="s">
        <v>1304</v>
      </c>
      <c r="H256" s="45" t="s">
        <v>1305</v>
      </c>
      <c r="I256" s="46">
        <v>615.5</v>
      </c>
      <c r="J256" s="47">
        <v>37941</v>
      </c>
      <c r="K256" s="48" t="s">
        <v>1556</v>
      </c>
    </row>
    <row r="257" ht="24" customHeight="1" spans="1:12">
      <c r="A257" s="42">
        <v>182</v>
      </c>
      <c r="B257" s="54" t="s">
        <v>1557</v>
      </c>
      <c r="C257" s="41" t="s">
        <v>1307</v>
      </c>
      <c r="D257" s="41" t="s">
        <v>1308</v>
      </c>
      <c r="E257" s="41" t="s">
        <v>1309</v>
      </c>
      <c r="F257" s="41"/>
      <c r="G257" s="51" t="s">
        <v>1312</v>
      </c>
      <c r="H257" s="45" t="s">
        <v>1305</v>
      </c>
      <c r="I257" s="46">
        <v>566.38</v>
      </c>
      <c r="J257" s="47">
        <v>37941</v>
      </c>
      <c r="K257" s="49" t="s">
        <v>1558</v>
      </c>
    </row>
    <row r="258" ht="24" customHeight="1" spans="1:12">
      <c r="A258" s="42"/>
      <c r="B258" s="54" t="s">
        <v>1557</v>
      </c>
      <c r="C258" s="41" t="s">
        <v>322</v>
      </c>
      <c r="D258" s="41" t="s">
        <v>1302</v>
      </c>
      <c r="E258" s="41" t="s">
        <v>1303</v>
      </c>
      <c r="F258" s="41"/>
      <c r="G258" s="44" t="s">
        <v>1304</v>
      </c>
      <c r="H258" s="45" t="s">
        <v>1305</v>
      </c>
      <c r="I258" s="46">
        <v>566.38</v>
      </c>
      <c r="J258" s="47"/>
      <c r="K258" s="50"/>
    </row>
    <row r="259" ht="24" customHeight="1" spans="1:12">
      <c r="A259" s="42">
        <v>183</v>
      </c>
      <c r="B259" s="54" t="s">
        <v>1559</v>
      </c>
      <c r="C259" s="41" t="s">
        <v>13</v>
      </c>
      <c r="D259" s="41" t="s">
        <v>1302</v>
      </c>
      <c r="E259" s="41" t="s">
        <v>1303</v>
      </c>
      <c r="F259" s="41"/>
      <c r="G259" s="44" t="s">
        <v>1304</v>
      </c>
      <c r="H259" s="45" t="s">
        <v>1305</v>
      </c>
      <c r="I259" s="46">
        <v>159.88</v>
      </c>
      <c r="J259" s="47">
        <v>37941</v>
      </c>
      <c r="K259" s="48" t="s">
        <v>1560</v>
      </c>
    </row>
    <row r="260" ht="24" customHeight="1" spans="1:12">
      <c r="A260" s="42">
        <v>184</v>
      </c>
      <c r="B260" s="72" t="s">
        <v>1561</v>
      </c>
      <c r="C260" s="41" t="s">
        <v>1307</v>
      </c>
      <c r="D260" s="41" t="s">
        <v>1308</v>
      </c>
      <c r="E260" s="41" t="s">
        <v>1309</v>
      </c>
      <c r="F260" s="41"/>
      <c r="G260" s="51" t="s">
        <v>1312</v>
      </c>
      <c r="H260" s="45" t="s">
        <v>1305</v>
      </c>
      <c r="I260" s="46">
        <v>69.6</v>
      </c>
      <c r="J260" s="47">
        <v>37941</v>
      </c>
      <c r="K260" s="49" t="s">
        <v>1562</v>
      </c>
    </row>
    <row r="261" ht="24" customHeight="1" spans="1:12">
      <c r="A261" s="42"/>
      <c r="B261" s="72" t="s">
        <v>1561</v>
      </c>
      <c r="C261" s="41" t="s">
        <v>322</v>
      </c>
      <c r="D261" s="41" t="s">
        <v>1302</v>
      </c>
      <c r="E261" s="41" t="s">
        <v>1303</v>
      </c>
      <c r="F261" s="41"/>
      <c r="G261" s="44" t="s">
        <v>1304</v>
      </c>
      <c r="H261" s="45" t="s">
        <v>1305</v>
      </c>
      <c r="I261" s="46">
        <v>69.6</v>
      </c>
      <c r="J261" s="47"/>
      <c r="K261" s="50"/>
    </row>
    <row r="262" ht="24" customHeight="1" spans="1:12">
      <c r="A262" s="42">
        <v>185</v>
      </c>
      <c r="B262" s="54" t="s">
        <v>1563</v>
      </c>
      <c r="C262" s="41" t="s">
        <v>13</v>
      </c>
      <c r="D262" s="41" t="s">
        <v>1302</v>
      </c>
      <c r="E262" s="41" t="s">
        <v>1303</v>
      </c>
      <c r="F262" s="41"/>
      <c r="G262" s="44" t="s">
        <v>1304</v>
      </c>
      <c r="H262" s="45" t="s">
        <v>1305</v>
      </c>
      <c r="I262" s="46">
        <v>197.6</v>
      </c>
      <c r="J262" s="47">
        <v>37941</v>
      </c>
      <c r="K262" s="48" t="s">
        <v>1564</v>
      </c>
    </row>
    <row r="263" ht="24" customHeight="1" spans="1:12">
      <c r="A263" s="42">
        <v>186</v>
      </c>
      <c r="B263" s="54" t="s">
        <v>1565</v>
      </c>
      <c r="C263" s="41" t="s">
        <v>1307</v>
      </c>
      <c r="D263" s="41" t="s">
        <v>1308</v>
      </c>
      <c r="E263" s="41" t="s">
        <v>1309</v>
      </c>
      <c r="F263" s="41"/>
      <c r="G263" s="51" t="s">
        <v>1312</v>
      </c>
      <c r="H263" s="45" t="s">
        <v>1305</v>
      </c>
      <c r="I263" s="46">
        <v>216.67</v>
      </c>
      <c r="J263" s="47">
        <v>37941</v>
      </c>
      <c r="K263" s="49" t="s">
        <v>1566</v>
      </c>
    </row>
    <row r="264" ht="24" customHeight="1" spans="1:12">
      <c r="A264" s="42"/>
      <c r="B264" s="54" t="s">
        <v>1565</v>
      </c>
      <c r="C264" s="41" t="s">
        <v>322</v>
      </c>
      <c r="D264" s="41" t="s">
        <v>1302</v>
      </c>
      <c r="E264" s="41" t="s">
        <v>1303</v>
      </c>
      <c r="F264" s="41"/>
      <c r="G264" s="44" t="s">
        <v>1304</v>
      </c>
      <c r="H264" s="45" t="s">
        <v>1305</v>
      </c>
      <c r="I264" s="46">
        <v>216.67</v>
      </c>
      <c r="J264" s="47"/>
      <c r="K264" s="50"/>
    </row>
    <row r="265" ht="24" customHeight="1" spans="1:12">
      <c r="A265" s="42">
        <v>187</v>
      </c>
      <c r="B265" s="54" t="s">
        <v>1567</v>
      </c>
      <c r="C265" s="41" t="s">
        <v>13</v>
      </c>
      <c r="D265" s="41" t="s">
        <v>1302</v>
      </c>
      <c r="E265" s="41" t="s">
        <v>1303</v>
      </c>
      <c r="F265" s="41"/>
      <c r="G265" s="44" t="s">
        <v>1304</v>
      </c>
      <c r="H265" s="45" t="s">
        <v>1305</v>
      </c>
      <c r="I265" s="46">
        <v>154.88</v>
      </c>
      <c r="J265" s="47">
        <v>37941</v>
      </c>
      <c r="K265" s="48" t="s">
        <v>1568</v>
      </c>
    </row>
    <row r="266" ht="24" customHeight="1" spans="1:12">
      <c r="A266" s="42">
        <v>188</v>
      </c>
      <c r="B266" s="54" t="s">
        <v>1569</v>
      </c>
      <c r="C266" s="41" t="s">
        <v>1307</v>
      </c>
      <c r="D266" s="41" t="s">
        <v>1308</v>
      </c>
      <c r="E266" s="41" t="s">
        <v>1309</v>
      </c>
      <c r="F266" s="41"/>
      <c r="G266" s="51" t="s">
        <v>1312</v>
      </c>
      <c r="H266" s="45" t="s">
        <v>1305</v>
      </c>
      <c r="I266" s="46">
        <v>128.2</v>
      </c>
      <c r="J266" s="47">
        <v>37941</v>
      </c>
      <c r="K266" s="49" t="s">
        <v>1570</v>
      </c>
    </row>
    <row r="267" ht="24" customHeight="1" spans="1:12">
      <c r="A267" s="42"/>
      <c r="B267" s="54" t="s">
        <v>1569</v>
      </c>
      <c r="C267" s="41" t="s">
        <v>322</v>
      </c>
      <c r="D267" s="41" t="s">
        <v>1302</v>
      </c>
      <c r="E267" s="41" t="s">
        <v>1303</v>
      </c>
      <c r="F267" s="41"/>
      <c r="G267" s="44" t="s">
        <v>1304</v>
      </c>
      <c r="H267" s="45" t="s">
        <v>1305</v>
      </c>
      <c r="I267" s="46">
        <v>128.2</v>
      </c>
      <c r="J267" s="47"/>
      <c r="K267" s="50"/>
    </row>
    <row r="268" ht="24" customHeight="1" spans="1:12">
      <c r="A268" s="42">
        <v>189</v>
      </c>
      <c r="B268" s="54" t="s">
        <v>1571</v>
      </c>
      <c r="C268" s="41" t="s">
        <v>13</v>
      </c>
      <c r="D268" s="41" t="s">
        <v>1302</v>
      </c>
      <c r="E268" s="41" t="s">
        <v>1316</v>
      </c>
      <c r="F268" s="41"/>
      <c r="G268" s="51" t="s">
        <v>1317</v>
      </c>
      <c r="H268" s="45"/>
      <c r="I268" s="46">
        <v>32</v>
      </c>
      <c r="J268" s="47">
        <v>37941</v>
      </c>
      <c r="K268" s="48" t="s">
        <v>1572</v>
      </c>
      <c r="L268" s="39" t="s">
        <v>1573</v>
      </c>
    </row>
    <row r="269" ht="24" customHeight="1" spans="1:12">
      <c r="A269" s="42"/>
      <c r="B269" s="54" t="s">
        <v>1571</v>
      </c>
      <c r="C269" s="41" t="s">
        <v>1307</v>
      </c>
      <c r="D269" s="41" t="s">
        <v>1308</v>
      </c>
      <c r="E269" s="41" t="s">
        <v>1359</v>
      </c>
      <c r="F269" s="41"/>
      <c r="G269" s="51" t="s">
        <v>1317</v>
      </c>
      <c r="H269" s="45"/>
      <c r="I269" s="46">
        <v>32</v>
      </c>
      <c r="J269" s="47"/>
      <c r="K269" s="49" t="s">
        <v>1574</v>
      </c>
      <c r="L269" s="39" t="s">
        <v>1575</v>
      </c>
    </row>
    <row r="270" ht="24" customHeight="1" spans="1:12">
      <c r="A270" s="42"/>
      <c r="B270" s="54" t="s">
        <v>1571</v>
      </c>
      <c r="C270" s="41" t="s">
        <v>322</v>
      </c>
      <c r="D270" s="41" t="s">
        <v>1302</v>
      </c>
      <c r="E270" s="41" t="s">
        <v>1316</v>
      </c>
      <c r="F270" s="41"/>
      <c r="G270" s="51" t="s">
        <v>1317</v>
      </c>
      <c r="H270" s="45"/>
      <c r="I270" s="46">
        <v>32</v>
      </c>
      <c r="J270" s="47"/>
      <c r="K270" s="50"/>
      <c r="L270" s="39" t="s">
        <v>1573</v>
      </c>
    </row>
    <row r="271" ht="24" customHeight="1" spans="1:12">
      <c r="A271" s="42">
        <v>191</v>
      </c>
      <c r="B271" s="54" t="s">
        <v>1576</v>
      </c>
      <c r="C271" s="41" t="s">
        <v>13</v>
      </c>
      <c r="D271" s="41" t="s">
        <v>1302</v>
      </c>
      <c r="E271" s="41" t="s">
        <v>1303</v>
      </c>
      <c r="F271" s="41"/>
      <c r="G271" s="44" t="s">
        <v>1304</v>
      </c>
      <c r="H271" s="45" t="s">
        <v>1305</v>
      </c>
      <c r="I271" s="46">
        <v>448.66</v>
      </c>
      <c r="J271" s="47">
        <v>37941</v>
      </c>
      <c r="K271" s="48" t="s">
        <v>1577</v>
      </c>
    </row>
    <row r="272" ht="24" customHeight="1" spans="1:12">
      <c r="A272" s="42">
        <v>192</v>
      </c>
      <c r="B272" s="54" t="s">
        <v>1578</v>
      </c>
      <c r="C272" s="41" t="s">
        <v>1307</v>
      </c>
      <c r="D272" s="41" t="s">
        <v>1308</v>
      </c>
      <c r="E272" s="41" t="s">
        <v>1309</v>
      </c>
      <c r="F272" s="41"/>
      <c r="G272" s="51" t="s">
        <v>1312</v>
      </c>
      <c r="H272" s="45" t="s">
        <v>1305</v>
      </c>
      <c r="I272" s="46">
        <v>448.66</v>
      </c>
      <c r="J272" s="47">
        <v>37941</v>
      </c>
      <c r="K272" s="49" t="s">
        <v>1579</v>
      </c>
    </row>
    <row r="273" ht="24" customHeight="1" spans="1:11">
      <c r="A273" s="42"/>
      <c r="B273" s="54" t="s">
        <v>1578</v>
      </c>
      <c r="C273" s="41" t="s">
        <v>322</v>
      </c>
      <c r="D273" s="41" t="s">
        <v>1302</v>
      </c>
      <c r="E273" s="41" t="s">
        <v>1303</v>
      </c>
      <c r="F273" s="41"/>
      <c r="G273" s="44" t="s">
        <v>1304</v>
      </c>
      <c r="H273" s="45" t="s">
        <v>1305</v>
      </c>
      <c r="I273" s="46">
        <v>448.66</v>
      </c>
      <c r="J273" s="47"/>
      <c r="K273" s="50"/>
    </row>
    <row r="274" ht="24" customHeight="1" spans="1:11">
      <c r="A274" s="42">
        <v>194</v>
      </c>
      <c r="B274" s="54" t="s">
        <v>1580</v>
      </c>
      <c r="C274" s="41" t="s">
        <v>13</v>
      </c>
      <c r="D274" s="41" t="s">
        <v>1302</v>
      </c>
      <c r="E274" s="41" t="s">
        <v>1303</v>
      </c>
      <c r="F274" s="41"/>
      <c r="G274" s="44" t="s">
        <v>1304</v>
      </c>
      <c r="H274" s="45" t="s">
        <v>1305</v>
      </c>
      <c r="I274" s="46">
        <v>133</v>
      </c>
      <c r="J274" s="47">
        <v>37941</v>
      </c>
      <c r="K274" s="48" t="s">
        <v>1581</v>
      </c>
    </row>
    <row r="275" ht="24" customHeight="1" spans="1:11">
      <c r="A275" s="42">
        <v>195</v>
      </c>
      <c r="B275" s="54" t="s">
        <v>1582</v>
      </c>
      <c r="C275" s="41" t="s">
        <v>1307</v>
      </c>
      <c r="D275" s="41" t="s">
        <v>1308</v>
      </c>
      <c r="E275" s="41" t="s">
        <v>1309</v>
      </c>
      <c r="F275" s="41"/>
      <c r="G275" s="51" t="s">
        <v>1312</v>
      </c>
      <c r="H275" s="45" t="s">
        <v>1305</v>
      </c>
      <c r="I275" s="46">
        <v>119.66</v>
      </c>
      <c r="J275" s="47">
        <v>37941</v>
      </c>
      <c r="K275" s="49" t="s">
        <v>1583</v>
      </c>
    </row>
    <row r="276" ht="24" customHeight="1" spans="1:11">
      <c r="A276" s="42"/>
      <c r="B276" s="54" t="s">
        <v>1582</v>
      </c>
      <c r="C276" s="41" t="s">
        <v>322</v>
      </c>
      <c r="D276" s="41" t="s">
        <v>1302</v>
      </c>
      <c r="E276" s="41" t="s">
        <v>1303</v>
      </c>
      <c r="F276" s="41"/>
      <c r="G276" s="44" t="s">
        <v>1304</v>
      </c>
      <c r="H276" s="45" t="s">
        <v>1305</v>
      </c>
      <c r="I276" s="46">
        <v>119.66</v>
      </c>
      <c r="J276" s="47"/>
      <c r="K276" s="50"/>
    </row>
    <row r="277" ht="24" customHeight="1" spans="1:11">
      <c r="A277" s="42">
        <v>196</v>
      </c>
      <c r="B277" s="54" t="s">
        <v>1584</v>
      </c>
      <c r="C277" s="41" t="s">
        <v>13</v>
      </c>
      <c r="D277" s="41" t="s">
        <v>1302</v>
      </c>
      <c r="E277" s="41" t="s">
        <v>1303</v>
      </c>
      <c r="F277" s="41"/>
      <c r="G277" s="44" t="s">
        <v>1304</v>
      </c>
      <c r="H277" s="45" t="s">
        <v>1305</v>
      </c>
      <c r="I277" s="46">
        <v>157</v>
      </c>
      <c r="J277" s="47">
        <v>37941</v>
      </c>
      <c r="K277" s="48" t="s">
        <v>1585</v>
      </c>
    </row>
    <row r="278" ht="24" customHeight="1" spans="1:11">
      <c r="A278" s="42">
        <v>197</v>
      </c>
      <c r="B278" s="54" t="s">
        <v>1586</v>
      </c>
      <c r="C278" s="41" t="s">
        <v>1307</v>
      </c>
      <c r="D278" s="41" t="s">
        <v>1308</v>
      </c>
      <c r="E278" s="41" t="s">
        <v>1309</v>
      </c>
      <c r="F278" s="41"/>
      <c r="G278" s="51" t="s">
        <v>1312</v>
      </c>
      <c r="H278" s="45" t="s">
        <v>1305</v>
      </c>
      <c r="I278" s="46">
        <v>157</v>
      </c>
      <c r="J278" s="47">
        <v>37941</v>
      </c>
      <c r="K278" s="49" t="s">
        <v>1587</v>
      </c>
    </row>
    <row r="279" ht="24" customHeight="1" spans="1:11">
      <c r="A279" s="42"/>
      <c r="B279" s="54" t="s">
        <v>1586</v>
      </c>
      <c r="C279" s="41" t="s">
        <v>322</v>
      </c>
      <c r="D279" s="41" t="s">
        <v>1302</v>
      </c>
      <c r="E279" s="41" t="s">
        <v>1303</v>
      </c>
      <c r="F279" s="41"/>
      <c r="G279" s="44" t="s">
        <v>1304</v>
      </c>
      <c r="H279" s="45" t="s">
        <v>1305</v>
      </c>
      <c r="I279" s="46">
        <v>157</v>
      </c>
      <c r="J279" s="47"/>
      <c r="K279" s="50"/>
    </row>
    <row r="280" ht="24" customHeight="1" spans="1:11">
      <c r="A280" s="42">
        <v>198</v>
      </c>
      <c r="B280" s="54" t="s">
        <v>1588</v>
      </c>
      <c r="C280" s="41" t="s">
        <v>13</v>
      </c>
      <c r="D280" s="41" t="s">
        <v>1302</v>
      </c>
      <c r="E280" s="41" t="s">
        <v>1303</v>
      </c>
      <c r="F280" s="41"/>
      <c r="G280" s="44" t="s">
        <v>1304</v>
      </c>
      <c r="H280" s="45" t="s">
        <v>1305</v>
      </c>
      <c r="I280" s="46">
        <v>155.93</v>
      </c>
      <c r="J280" s="47">
        <v>37941</v>
      </c>
      <c r="K280" s="48" t="s">
        <v>1589</v>
      </c>
    </row>
    <row r="281" ht="24" customHeight="1" spans="1:11">
      <c r="A281" s="42">
        <v>199</v>
      </c>
      <c r="B281" s="54" t="s">
        <v>1590</v>
      </c>
      <c r="C281" s="41" t="s">
        <v>1307</v>
      </c>
      <c r="D281" s="41" t="s">
        <v>1308</v>
      </c>
      <c r="E281" s="41" t="s">
        <v>1309</v>
      </c>
      <c r="F281" s="41"/>
      <c r="G281" s="51" t="s">
        <v>1312</v>
      </c>
      <c r="H281" s="45" t="s">
        <v>1305</v>
      </c>
      <c r="I281" s="46">
        <v>158</v>
      </c>
      <c r="J281" s="47">
        <v>37941</v>
      </c>
      <c r="K281" s="49" t="s">
        <v>1591</v>
      </c>
    </row>
    <row r="282" ht="24" customHeight="1" spans="1:11">
      <c r="A282" s="42"/>
      <c r="B282" s="54" t="s">
        <v>1590</v>
      </c>
      <c r="C282" s="41" t="s">
        <v>322</v>
      </c>
      <c r="D282" s="41" t="s">
        <v>1302</v>
      </c>
      <c r="E282" s="41" t="s">
        <v>1303</v>
      </c>
      <c r="F282" s="41"/>
      <c r="G282" s="44" t="s">
        <v>1304</v>
      </c>
      <c r="H282" s="45" t="s">
        <v>1305</v>
      </c>
      <c r="I282" s="46">
        <v>158</v>
      </c>
      <c r="J282" s="47"/>
      <c r="K282" s="50"/>
    </row>
    <row r="283" ht="24" customHeight="1" spans="1:11">
      <c r="A283" s="42">
        <v>202</v>
      </c>
      <c r="B283" s="54" t="s">
        <v>1592</v>
      </c>
      <c r="C283" s="41" t="s">
        <v>13</v>
      </c>
      <c r="D283" s="41" t="s">
        <v>1302</v>
      </c>
      <c r="E283" s="41" t="s">
        <v>1303</v>
      </c>
      <c r="F283" s="41"/>
      <c r="G283" s="44" t="s">
        <v>1304</v>
      </c>
      <c r="H283" s="45" t="s">
        <v>1305</v>
      </c>
      <c r="I283" s="46">
        <v>186.9</v>
      </c>
      <c r="J283" s="47">
        <v>37941</v>
      </c>
      <c r="K283" s="48" t="s">
        <v>1593</v>
      </c>
    </row>
    <row r="284" ht="24" customHeight="1" spans="1:11">
      <c r="A284" s="42">
        <v>203</v>
      </c>
      <c r="B284" s="54" t="s">
        <v>1594</v>
      </c>
      <c r="C284" s="41" t="s">
        <v>1307</v>
      </c>
      <c r="D284" s="41" t="s">
        <v>1308</v>
      </c>
      <c r="E284" s="41" t="s">
        <v>1309</v>
      </c>
      <c r="F284" s="41"/>
      <c r="G284" s="51" t="s">
        <v>1312</v>
      </c>
      <c r="H284" s="45" t="s">
        <v>1305</v>
      </c>
      <c r="I284" s="46">
        <v>186.9</v>
      </c>
      <c r="J284" s="47">
        <v>37941</v>
      </c>
      <c r="K284" s="49" t="s">
        <v>1595</v>
      </c>
    </row>
    <row r="285" ht="24" customHeight="1" spans="1:11">
      <c r="A285" s="42"/>
      <c r="B285" s="54" t="s">
        <v>1594</v>
      </c>
      <c r="C285" s="41" t="s">
        <v>322</v>
      </c>
      <c r="D285" s="41" t="s">
        <v>1302</v>
      </c>
      <c r="E285" s="41" t="s">
        <v>1303</v>
      </c>
      <c r="F285" s="41"/>
      <c r="G285" s="44" t="s">
        <v>1304</v>
      </c>
      <c r="H285" s="45" t="s">
        <v>1305</v>
      </c>
      <c r="I285" s="46">
        <v>186.9</v>
      </c>
      <c r="J285" s="47"/>
      <c r="K285" s="50"/>
    </row>
    <row r="286" ht="24" customHeight="1" spans="1:11">
      <c r="A286" s="42">
        <v>204</v>
      </c>
      <c r="B286" s="54" t="s">
        <v>1596</v>
      </c>
      <c r="C286" s="41" t="s">
        <v>13</v>
      </c>
      <c r="D286" s="41" t="s">
        <v>1302</v>
      </c>
      <c r="E286" s="41" t="s">
        <v>1303</v>
      </c>
      <c r="F286" s="41"/>
      <c r="G286" s="44" t="s">
        <v>1304</v>
      </c>
      <c r="H286" s="45" t="s">
        <v>1305</v>
      </c>
      <c r="I286" s="46">
        <v>31.64</v>
      </c>
      <c r="J286" s="47">
        <v>37941</v>
      </c>
      <c r="K286" s="48" t="s">
        <v>1597</v>
      </c>
    </row>
    <row r="287" ht="24" customHeight="1" spans="1:11">
      <c r="A287" s="42">
        <v>205</v>
      </c>
      <c r="B287" s="54" t="s">
        <v>1598</v>
      </c>
      <c r="C287" s="41" t="s">
        <v>1307</v>
      </c>
      <c r="D287" s="41" t="s">
        <v>1308</v>
      </c>
      <c r="E287" s="41" t="s">
        <v>1309</v>
      </c>
      <c r="F287" s="41"/>
      <c r="G287" s="51" t="s">
        <v>1312</v>
      </c>
      <c r="H287" s="45" t="s">
        <v>1305</v>
      </c>
      <c r="I287" s="46">
        <v>31.64</v>
      </c>
      <c r="J287" s="47">
        <v>37941</v>
      </c>
      <c r="K287" s="49" t="s">
        <v>1597</v>
      </c>
    </row>
    <row r="288" ht="24" customHeight="1" spans="1:11">
      <c r="A288" s="42"/>
      <c r="B288" s="54" t="s">
        <v>1598</v>
      </c>
      <c r="C288" s="41" t="s">
        <v>322</v>
      </c>
      <c r="D288" s="41" t="s">
        <v>1302</v>
      </c>
      <c r="E288" s="41" t="s">
        <v>1303</v>
      </c>
      <c r="F288" s="41"/>
      <c r="G288" s="44" t="s">
        <v>1304</v>
      </c>
      <c r="H288" s="45" t="s">
        <v>1305</v>
      </c>
      <c r="I288" s="46">
        <v>31.64</v>
      </c>
      <c r="J288" s="47"/>
      <c r="K288" s="50"/>
    </row>
    <row r="289" ht="24" customHeight="1" spans="1:11">
      <c r="A289" s="42">
        <v>207</v>
      </c>
      <c r="B289" s="54" t="s">
        <v>1599</v>
      </c>
      <c r="C289" s="41" t="s">
        <v>13</v>
      </c>
      <c r="D289" s="41" t="s">
        <v>1302</v>
      </c>
      <c r="E289" s="41" t="s">
        <v>1303</v>
      </c>
      <c r="F289" s="41"/>
      <c r="G289" s="44" t="s">
        <v>1304</v>
      </c>
      <c r="H289" s="45" t="s">
        <v>1305</v>
      </c>
      <c r="I289" s="46">
        <v>105.5</v>
      </c>
      <c r="J289" s="47">
        <v>37941</v>
      </c>
      <c r="K289" s="48" t="s">
        <v>1600</v>
      </c>
    </row>
    <row r="290" ht="24" customHeight="1" spans="1:11">
      <c r="A290" s="42">
        <v>208</v>
      </c>
      <c r="B290" s="54" t="s">
        <v>1601</v>
      </c>
      <c r="C290" s="41" t="s">
        <v>1307</v>
      </c>
      <c r="D290" s="41" t="s">
        <v>1308</v>
      </c>
      <c r="E290" s="41" t="s">
        <v>1309</v>
      </c>
      <c r="F290" s="41"/>
      <c r="G290" s="51" t="s">
        <v>1312</v>
      </c>
      <c r="H290" s="45" t="s">
        <v>1305</v>
      </c>
      <c r="I290" s="46">
        <v>94.43</v>
      </c>
      <c r="J290" s="47">
        <v>37941</v>
      </c>
      <c r="K290" s="49" t="s">
        <v>1600</v>
      </c>
    </row>
    <row r="291" ht="24" customHeight="1" spans="1:11">
      <c r="A291" s="42"/>
      <c r="B291" s="54" t="s">
        <v>1601</v>
      </c>
      <c r="C291" s="41" t="s">
        <v>322</v>
      </c>
      <c r="D291" s="41" t="s">
        <v>1302</v>
      </c>
      <c r="E291" s="41" t="s">
        <v>1303</v>
      </c>
      <c r="F291" s="41"/>
      <c r="G291" s="44" t="s">
        <v>1304</v>
      </c>
      <c r="H291" s="45" t="s">
        <v>1305</v>
      </c>
      <c r="I291" s="46">
        <v>94.43</v>
      </c>
      <c r="J291" s="47"/>
      <c r="K291" s="50"/>
    </row>
    <row r="292" ht="24" customHeight="1" spans="1:11">
      <c r="A292" s="42">
        <v>209</v>
      </c>
      <c r="B292" s="54" t="s">
        <v>1602</v>
      </c>
      <c r="C292" s="41" t="s">
        <v>13</v>
      </c>
      <c r="D292" s="41" t="s">
        <v>1302</v>
      </c>
      <c r="E292" s="41" t="s">
        <v>1303</v>
      </c>
      <c r="F292" s="41"/>
      <c r="G292" s="44" t="s">
        <v>1304</v>
      </c>
      <c r="H292" s="45" t="s">
        <v>1305</v>
      </c>
      <c r="I292" s="46">
        <v>462.5</v>
      </c>
      <c r="J292" s="47">
        <v>37941</v>
      </c>
      <c r="K292" s="48" t="s">
        <v>1603</v>
      </c>
    </row>
    <row r="293" ht="24" customHeight="1" spans="1:11">
      <c r="A293" s="42">
        <v>210</v>
      </c>
      <c r="B293" s="54" t="s">
        <v>1604</v>
      </c>
      <c r="C293" s="41" t="s">
        <v>1307</v>
      </c>
      <c r="D293" s="41" t="s">
        <v>1308</v>
      </c>
      <c r="E293" s="41" t="s">
        <v>1309</v>
      </c>
      <c r="F293" s="41"/>
      <c r="G293" s="51" t="s">
        <v>1312</v>
      </c>
      <c r="H293" s="45" t="s">
        <v>1305</v>
      </c>
      <c r="I293" s="46">
        <v>403.5</v>
      </c>
      <c r="J293" s="47">
        <v>37941</v>
      </c>
      <c r="K293" s="49" t="s">
        <v>1605</v>
      </c>
    </row>
    <row r="294" ht="24" customHeight="1" spans="1:11">
      <c r="A294" s="42"/>
      <c r="B294" s="54" t="s">
        <v>1604</v>
      </c>
      <c r="C294" s="41" t="s">
        <v>322</v>
      </c>
      <c r="D294" s="41" t="s">
        <v>1302</v>
      </c>
      <c r="E294" s="41" t="s">
        <v>1303</v>
      </c>
      <c r="F294" s="41"/>
      <c r="G294" s="44" t="s">
        <v>1304</v>
      </c>
      <c r="H294" s="45" t="s">
        <v>1305</v>
      </c>
      <c r="I294" s="46">
        <v>403.5</v>
      </c>
      <c r="J294" s="47"/>
      <c r="K294" s="50"/>
    </row>
    <row r="295" ht="24" customHeight="1" spans="1:11">
      <c r="A295" s="42">
        <v>213</v>
      </c>
      <c r="B295" s="54" t="s">
        <v>1606</v>
      </c>
      <c r="C295" s="41" t="s">
        <v>13</v>
      </c>
      <c r="D295" s="41" t="s">
        <v>1302</v>
      </c>
      <c r="E295" s="41" t="s">
        <v>1303</v>
      </c>
      <c r="F295" s="41"/>
      <c r="G295" s="44" t="s">
        <v>1304</v>
      </c>
      <c r="H295" s="45" t="s">
        <v>1305</v>
      </c>
      <c r="I295" s="46">
        <v>374.38</v>
      </c>
      <c r="J295" s="47">
        <v>37941</v>
      </c>
      <c r="K295" s="71" t="s">
        <v>1607</v>
      </c>
    </row>
    <row r="296" ht="24" customHeight="1" spans="1:11">
      <c r="A296" s="42">
        <v>214</v>
      </c>
      <c r="B296" s="54" t="s">
        <v>1608</v>
      </c>
      <c r="C296" s="41" t="s">
        <v>322</v>
      </c>
      <c r="D296" s="41" t="s">
        <v>1302</v>
      </c>
      <c r="E296" s="41" t="s">
        <v>1303</v>
      </c>
      <c r="F296" s="41"/>
      <c r="G296" s="44" t="s">
        <v>1304</v>
      </c>
      <c r="H296" s="45" t="s">
        <v>1305</v>
      </c>
      <c r="I296" s="46">
        <v>373.08</v>
      </c>
      <c r="J296" s="47">
        <v>37941</v>
      </c>
      <c r="K296" s="71" t="s">
        <v>1607</v>
      </c>
    </row>
    <row r="297" ht="24" customHeight="1" spans="1:11">
      <c r="A297" s="42">
        <v>215</v>
      </c>
      <c r="B297" s="73" t="s">
        <v>1609</v>
      </c>
      <c r="C297" s="41" t="s">
        <v>1610</v>
      </c>
      <c r="D297" s="41" t="s">
        <v>1302</v>
      </c>
      <c r="E297" s="41" t="s">
        <v>1303</v>
      </c>
      <c r="F297" s="41"/>
      <c r="G297" s="44" t="s">
        <v>1304</v>
      </c>
      <c r="H297" s="45" t="s">
        <v>1305</v>
      </c>
      <c r="I297" s="46">
        <v>280</v>
      </c>
      <c r="J297" s="47">
        <v>37941</v>
      </c>
      <c r="K297" s="71" t="s">
        <v>1611</v>
      </c>
    </row>
    <row r="298" ht="24" customHeight="1" spans="1:11">
      <c r="A298" s="42">
        <v>216</v>
      </c>
      <c r="B298" s="68" t="s">
        <v>1612</v>
      </c>
      <c r="C298" s="41" t="s">
        <v>13</v>
      </c>
      <c r="D298" s="41" t="s">
        <v>1302</v>
      </c>
      <c r="E298" s="41" t="s">
        <v>1316</v>
      </c>
      <c r="F298" s="41"/>
      <c r="G298" s="51" t="s">
        <v>1317</v>
      </c>
      <c r="H298" s="45"/>
      <c r="I298" s="46">
        <v>66</v>
      </c>
      <c r="J298" s="47">
        <v>37941</v>
      </c>
      <c r="K298" s="48" t="s">
        <v>1613</v>
      </c>
    </row>
    <row r="299" ht="24" customHeight="1" spans="1:11">
      <c r="A299" s="42">
        <v>217</v>
      </c>
      <c r="B299" s="68" t="s">
        <v>1612</v>
      </c>
      <c r="C299" s="41" t="s">
        <v>1307</v>
      </c>
      <c r="D299" s="41" t="s">
        <v>1308</v>
      </c>
      <c r="E299" s="41" t="s">
        <v>1359</v>
      </c>
      <c r="F299" s="41"/>
      <c r="G299" s="51" t="s">
        <v>1317</v>
      </c>
      <c r="H299" s="45"/>
      <c r="I299" s="46">
        <v>66</v>
      </c>
      <c r="J299" s="47">
        <v>37941</v>
      </c>
      <c r="K299" s="49" t="s">
        <v>1613</v>
      </c>
    </row>
    <row r="300" ht="24" customHeight="1" spans="1:11">
      <c r="A300" s="42"/>
      <c r="B300" s="68" t="s">
        <v>1612</v>
      </c>
      <c r="C300" s="41" t="s">
        <v>322</v>
      </c>
      <c r="D300" s="41" t="s">
        <v>1302</v>
      </c>
      <c r="E300" s="41" t="s">
        <v>1316</v>
      </c>
      <c r="F300" s="41"/>
      <c r="G300" s="51" t="s">
        <v>1317</v>
      </c>
      <c r="H300" s="45"/>
      <c r="I300" s="46">
        <v>66</v>
      </c>
      <c r="J300" s="47"/>
      <c r="K300" s="50"/>
    </row>
    <row r="301" ht="24" customHeight="1" spans="1:11">
      <c r="A301" s="42">
        <v>218</v>
      </c>
      <c r="B301" s="68" t="s">
        <v>1614</v>
      </c>
      <c r="C301" s="41" t="s">
        <v>13</v>
      </c>
      <c r="D301" s="41" t="s">
        <v>1302</v>
      </c>
      <c r="E301" s="41" t="s">
        <v>1316</v>
      </c>
      <c r="F301" s="41"/>
      <c r="G301" s="51" t="s">
        <v>1317</v>
      </c>
      <c r="H301" s="45"/>
      <c r="I301" s="46">
        <v>35</v>
      </c>
      <c r="J301" s="47">
        <v>37941</v>
      </c>
      <c r="K301" s="48" t="s">
        <v>1615</v>
      </c>
    </row>
    <row r="302" ht="24" customHeight="1" spans="1:11">
      <c r="A302" s="42">
        <v>219</v>
      </c>
      <c r="B302" s="68" t="s">
        <v>1614</v>
      </c>
      <c r="C302" s="41" t="s">
        <v>1307</v>
      </c>
      <c r="D302" s="41" t="s">
        <v>1308</v>
      </c>
      <c r="E302" s="41" t="s">
        <v>1359</v>
      </c>
      <c r="F302" s="41"/>
      <c r="G302" s="51" t="s">
        <v>1317</v>
      </c>
      <c r="H302" s="45"/>
      <c r="I302" s="46">
        <v>35</v>
      </c>
      <c r="J302" s="47">
        <v>37941</v>
      </c>
      <c r="K302" s="49" t="s">
        <v>1615</v>
      </c>
    </row>
    <row r="303" ht="24" customHeight="1" spans="1:11">
      <c r="A303" s="42"/>
      <c r="B303" s="68" t="s">
        <v>1614</v>
      </c>
      <c r="C303" s="41" t="s">
        <v>322</v>
      </c>
      <c r="D303" s="41" t="s">
        <v>1302</v>
      </c>
      <c r="E303" s="41" t="s">
        <v>1316</v>
      </c>
      <c r="F303" s="41"/>
      <c r="G303" s="51" t="s">
        <v>1317</v>
      </c>
      <c r="H303" s="45"/>
      <c r="I303" s="46">
        <v>35</v>
      </c>
      <c r="J303" s="47"/>
      <c r="K303" s="50"/>
    </row>
    <row r="304" ht="24" customHeight="1" spans="1:11">
      <c r="A304" s="42">
        <v>220</v>
      </c>
      <c r="B304" s="68" t="s">
        <v>1616</v>
      </c>
      <c r="C304" s="41" t="s">
        <v>13</v>
      </c>
      <c r="D304" s="41" t="s">
        <v>1302</v>
      </c>
      <c r="E304" s="41" t="s">
        <v>1303</v>
      </c>
      <c r="F304" s="41"/>
      <c r="G304" s="44" t="s">
        <v>1304</v>
      </c>
      <c r="H304" s="45" t="s">
        <v>1305</v>
      </c>
      <c r="I304" s="46">
        <v>96.06</v>
      </c>
      <c r="J304" s="47">
        <v>37941</v>
      </c>
      <c r="K304" s="48" t="s">
        <v>1617</v>
      </c>
    </row>
    <row r="305" ht="24" customHeight="1" spans="1:11">
      <c r="A305" s="42">
        <v>221</v>
      </c>
      <c r="B305" s="68" t="s">
        <v>1616</v>
      </c>
      <c r="C305" s="41" t="s">
        <v>1307</v>
      </c>
      <c r="D305" s="41" t="s">
        <v>1308</v>
      </c>
      <c r="E305" s="41" t="s">
        <v>1309</v>
      </c>
      <c r="F305" s="41"/>
      <c r="G305" s="51" t="s">
        <v>1312</v>
      </c>
      <c r="H305" s="45" t="s">
        <v>1305</v>
      </c>
      <c r="I305" s="46">
        <v>96.06</v>
      </c>
      <c r="J305" s="47">
        <v>37941</v>
      </c>
      <c r="K305" s="49" t="s">
        <v>1617</v>
      </c>
    </row>
    <row r="306" ht="24" customHeight="1" spans="1:11">
      <c r="A306" s="42"/>
      <c r="B306" s="68" t="s">
        <v>1616</v>
      </c>
      <c r="C306" s="41" t="s">
        <v>322</v>
      </c>
      <c r="D306" s="41" t="s">
        <v>1302</v>
      </c>
      <c r="E306" s="41" t="s">
        <v>1303</v>
      </c>
      <c r="F306" s="41"/>
      <c r="G306" s="44" t="s">
        <v>1304</v>
      </c>
      <c r="H306" s="45" t="s">
        <v>1305</v>
      </c>
      <c r="I306" s="46">
        <v>96.06</v>
      </c>
      <c r="J306" s="47"/>
      <c r="K306" s="50"/>
    </row>
    <row r="307" ht="24" customHeight="1" spans="1:11">
      <c r="A307" s="42">
        <v>222</v>
      </c>
      <c r="B307" s="74" t="s">
        <v>1618</v>
      </c>
      <c r="C307" s="41" t="s">
        <v>1610</v>
      </c>
      <c r="D307" s="41" t="s">
        <v>1302</v>
      </c>
      <c r="E307" s="41" t="s">
        <v>1303</v>
      </c>
      <c r="F307" s="41"/>
      <c r="G307" s="51" t="s">
        <v>1312</v>
      </c>
      <c r="H307" s="45" t="s">
        <v>1305</v>
      </c>
      <c r="I307" s="46">
        <v>24</v>
      </c>
      <c r="J307" s="47">
        <v>37941</v>
      </c>
      <c r="K307" s="71" t="s">
        <v>1619</v>
      </c>
    </row>
    <row r="308" ht="24" customHeight="1" spans="1:11">
      <c r="A308" s="42">
        <v>223</v>
      </c>
      <c r="B308" s="74" t="s">
        <v>1620</v>
      </c>
      <c r="C308" s="41" t="s">
        <v>1610</v>
      </c>
      <c r="D308" s="41" t="s">
        <v>1302</v>
      </c>
      <c r="E308" s="41" t="s">
        <v>1303</v>
      </c>
      <c r="F308" s="41"/>
      <c r="G308" s="44" t="s">
        <v>1304</v>
      </c>
      <c r="H308" s="45" t="s">
        <v>1305</v>
      </c>
      <c r="I308" s="46">
        <v>53.7</v>
      </c>
      <c r="J308" s="47">
        <v>37941</v>
      </c>
      <c r="K308" s="71" t="s">
        <v>1621</v>
      </c>
    </row>
    <row r="309" ht="24" customHeight="1" spans="1:11">
      <c r="A309" s="42">
        <v>224</v>
      </c>
      <c r="B309" s="74" t="s">
        <v>1622</v>
      </c>
      <c r="C309" s="41" t="s">
        <v>13</v>
      </c>
      <c r="D309" s="41" t="s">
        <v>1302</v>
      </c>
      <c r="E309" s="41" t="s">
        <v>1303</v>
      </c>
      <c r="F309" s="41"/>
      <c r="G309" s="44" t="s">
        <v>1304</v>
      </c>
      <c r="H309" s="45" t="s">
        <v>1305</v>
      </c>
      <c r="I309" s="46">
        <v>525.3</v>
      </c>
      <c r="J309" s="47">
        <v>37941</v>
      </c>
      <c r="K309" s="71" t="s">
        <v>1623</v>
      </c>
    </row>
    <row r="310" ht="24" customHeight="1" spans="1:11">
      <c r="A310" s="42">
        <v>225</v>
      </c>
      <c r="B310" s="74" t="s">
        <v>1624</v>
      </c>
      <c r="C310" s="41" t="s">
        <v>322</v>
      </c>
      <c r="D310" s="41" t="s">
        <v>1302</v>
      </c>
      <c r="E310" s="41" t="s">
        <v>1303</v>
      </c>
      <c r="F310" s="41"/>
      <c r="G310" s="44" t="s">
        <v>1304</v>
      </c>
      <c r="H310" s="45" t="s">
        <v>1305</v>
      </c>
      <c r="I310" s="46">
        <v>209.3</v>
      </c>
      <c r="J310" s="47">
        <v>37941</v>
      </c>
      <c r="K310" s="71" t="s">
        <v>1625</v>
      </c>
    </row>
    <row r="311" ht="24" customHeight="1" spans="1:11">
      <c r="A311" s="42">
        <v>226</v>
      </c>
      <c r="B311" s="74" t="s">
        <v>1626</v>
      </c>
      <c r="C311" s="41" t="s">
        <v>13</v>
      </c>
      <c r="D311" s="41" t="s">
        <v>1302</v>
      </c>
      <c r="E311" s="41" t="s">
        <v>1303</v>
      </c>
      <c r="F311" s="41"/>
      <c r="G311" s="44" t="s">
        <v>1304</v>
      </c>
      <c r="H311" s="45" t="s">
        <v>1305</v>
      </c>
      <c r="I311" s="46">
        <v>322.8</v>
      </c>
      <c r="J311" s="47">
        <v>37941</v>
      </c>
      <c r="K311" s="71" t="s">
        <v>1627</v>
      </c>
    </row>
    <row r="312" ht="24" customHeight="1" spans="1:11">
      <c r="A312" s="42">
        <v>232</v>
      </c>
      <c r="B312" s="54" t="s">
        <v>1628</v>
      </c>
      <c r="C312" s="41" t="s">
        <v>13</v>
      </c>
      <c r="D312" s="41" t="s">
        <v>1302</v>
      </c>
      <c r="E312" s="41" t="s">
        <v>1303</v>
      </c>
      <c r="F312" s="41"/>
      <c r="G312" s="51" t="s">
        <v>1312</v>
      </c>
      <c r="H312" s="45" t="s">
        <v>1305</v>
      </c>
      <c r="I312" s="46">
        <v>1199.04</v>
      </c>
      <c r="J312" s="47">
        <v>42051</v>
      </c>
      <c r="K312" s="65" t="s">
        <v>1629</v>
      </c>
    </row>
    <row r="313" ht="24" customHeight="1" spans="1:11">
      <c r="A313" s="42">
        <v>233</v>
      </c>
      <c r="B313" s="54" t="s">
        <v>1630</v>
      </c>
      <c r="C313" s="41" t="s">
        <v>1307</v>
      </c>
      <c r="D313" s="41" t="s">
        <v>1308</v>
      </c>
      <c r="E313" s="41" t="s">
        <v>1309</v>
      </c>
      <c r="F313" s="41"/>
      <c r="G313" s="51" t="s">
        <v>1312</v>
      </c>
      <c r="H313" s="45" t="s">
        <v>1305</v>
      </c>
      <c r="I313" s="46">
        <v>1200.03</v>
      </c>
      <c r="J313" s="47">
        <v>42051</v>
      </c>
      <c r="K313" s="66"/>
    </row>
    <row r="314" ht="24" customHeight="1" spans="1:11">
      <c r="A314" s="42"/>
      <c r="B314" s="54" t="s">
        <v>1630</v>
      </c>
      <c r="C314" s="41" t="s">
        <v>322</v>
      </c>
      <c r="D314" s="41" t="s">
        <v>1302</v>
      </c>
      <c r="E314" s="41" t="s">
        <v>1303</v>
      </c>
      <c r="F314" s="41"/>
      <c r="G314" s="51" t="s">
        <v>1312</v>
      </c>
      <c r="H314" s="45" t="s">
        <v>1305</v>
      </c>
      <c r="I314" s="46">
        <v>1200.03</v>
      </c>
      <c r="J314" s="47"/>
      <c r="K314" s="67"/>
    </row>
    <row r="315" ht="24" customHeight="1" spans="1:11">
      <c r="A315" s="42">
        <v>234</v>
      </c>
      <c r="B315" s="75" t="s">
        <v>1631</v>
      </c>
      <c r="C315" s="41" t="s">
        <v>1632</v>
      </c>
      <c r="D315" s="41" t="s">
        <v>1302</v>
      </c>
      <c r="E315" s="41" t="s">
        <v>1303</v>
      </c>
      <c r="F315" s="41"/>
      <c r="G315" s="51" t="s">
        <v>1312</v>
      </c>
      <c r="H315" s="45" t="s">
        <v>1305</v>
      </c>
      <c r="I315" s="46">
        <v>66.08</v>
      </c>
      <c r="J315" s="47">
        <v>42051</v>
      </c>
      <c r="K315" s="41" t="s">
        <v>1633</v>
      </c>
    </row>
    <row r="316" ht="24" customHeight="1" spans="1:11">
      <c r="A316" s="42">
        <v>235</v>
      </c>
      <c r="B316" s="75" t="s">
        <v>1631</v>
      </c>
      <c r="C316" s="41" t="s">
        <v>1634</v>
      </c>
      <c r="D316" s="41" t="s">
        <v>1302</v>
      </c>
      <c r="E316" s="41" t="s">
        <v>1303</v>
      </c>
      <c r="F316" s="41"/>
      <c r="G316" s="51" t="s">
        <v>1312</v>
      </c>
      <c r="H316" s="45" t="s">
        <v>1305</v>
      </c>
      <c r="I316" s="46">
        <v>66.08</v>
      </c>
      <c r="J316" s="47">
        <v>42051</v>
      </c>
      <c r="K316" s="41" t="s">
        <v>1633</v>
      </c>
    </row>
    <row r="317" ht="24" customHeight="1" spans="1:11">
      <c r="A317" s="42">
        <v>236</v>
      </c>
      <c r="B317" s="54" t="s">
        <v>1635</v>
      </c>
      <c r="C317" s="42" t="s">
        <v>13</v>
      </c>
      <c r="D317" s="41" t="s">
        <v>1302</v>
      </c>
      <c r="E317" s="41" t="s">
        <v>1303</v>
      </c>
      <c r="F317" s="41"/>
      <c r="G317" s="51" t="s">
        <v>1312</v>
      </c>
      <c r="H317" s="45" t="s">
        <v>1305</v>
      </c>
      <c r="I317" s="46">
        <v>86.08</v>
      </c>
      <c r="J317" s="47">
        <v>42051</v>
      </c>
      <c r="K317" s="65" t="s">
        <v>1636</v>
      </c>
    </row>
    <row r="318" ht="24" customHeight="1" spans="1:11">
      <c r="A318" s="42">
        <v>237</v>
      </c>
      <c r="B318" s="54" t="s">
        <v>1637</v>
      </c>
      <c r="C318" s="41" t="s">
        <v>322</v>
      </c>
      <c r="D318" s="41" t="s">
        <v>1302</v>
      </c>
      <c r="E318" s="41" t="s">
        <v>1303</v>
      </c>
      <c r="F318" s="41"/>
      <c r="G318" s="51" t="s">
        <v>1312</v>
      </c>
      <c r="H318" s="45" t="s">
        <v>1305</v>
      </c>
      <c r="I318" s="46">
        <v>86.08</v>
      </c>
      <c r="J318" s="47">
        <v>42051</v>
      </c>
      <c r="K318" s="67"/>
    </row>
    <row r="319" ht="24" customHeight="1" spans="1:11">
      <c r="A319" s="42">
        <v>238</v>
      </c>
      <c r="B319" s="54" t="s">
        <v>1638</v>
      </c>
      <c r="C319" s="41" t="s">
        <v>322</v>
      </c>
      <c r="D319" s="41" t="s">
        <v>1302</v>
      </c>
      <c r="E319" s="41" t="s">
        <v>1303</v>
      </c>
      <c r="F319" s="41"/>
      <c r="G319" s="51" t="s">
        <v>1312</v>
      </c>
      <c r="H319" s="45" t="s">
        <v>1305</v>
      </c>
      <c r="I319" s="46">
        <v>86.08</v>
      </c>
      <c r="J319" s="47">
        <v>42051</v>
      </c>
      <c r="K319" s="41" t="s">
        <v>1639</v>
      </c>
    </row>
    <row r="320" ht="24" customHeight="1" spans="1:11">
      <c r="A320" s="42">
        <v>239</v>
      </c>
      <c r="B320" s="54" t="s">
        <v>1640</v>
      </c>
      <c r="C320" s="41" t="s">
        <v>13</v>
      </c>
      <c r="D320" s="41" t="s">
        <v>1302</v>
      </c>
      <c r="E320" s="41" t="s">
        <v>1303</v>
      </c>
      <c r="F320" s="41"/>
      <c r="G320" s="51" t="s">
        <v>1312</v>
      </c>
      <c r="H320" s="45" t="s">
        <v>1305</v>
      </c>
      <c r="I320" s="46">
        <v>290.5</v>
      </c>
      <c r="J320" s="47">
        <v>42051</v>
      </c>
      <c r="K320" s="65" t="s">
        <v>1641</v>
      </c>
    </row>
    <row r="321" ht="24" customHeight="1" spans="1:11">
      <c r="A321" s="42"/>
      <c r="B321" s="54" t="s">
        <v>1640</v>
      </c>
      <c r="C321" s="41" t="s">
        <v>1307</v>
      </c>
      <c r="D321" s="41" t="s">
        <v>1308</v>
      </c>
      <c r="E321" s="41" t="s">
        <v>1309</v>
      </c>
      <c r="F321" s="41"/>
      <c r="G321" s="51" t="s">
        <v>1312</v>
      </c>
      <c r="H321" s="45" t="s">
        <v>1305</v>
      </c>
      <c r="I321" s="46">
        <v>292</v>
      </c>
      <c r="J321" s="47"/>
      <c r="K321" s="66"/>
    </row>
    <row r="322" ht="24" customHeight="1" spans="1:11">
      <c r="A322" s="42">
        <v>240</v>
      </c>
      <c r="B322" s="54" t="s">
        <v>1642</v>
      </c>
      <c r="C322" s="41" t="s">
        <v>322</v>
      </c>
      <c r="D322" s="41" t="s">
        <v>1302</v>
      </c>
      <c r="E322" s="41" t="s">
        <v>1303</v>
      </c>
      <c r="F322" s="41"/>
      <c r="G322" s="51" t="s">
        <v>1312</v>
      </c>
      <c r="H322" s="45" t="s">
        <v>1305</v>
      </c>
      <c r="I322" s="46">
        <v>292</v>
      </c>
      <c r="J322" s="47">
        <v>42051</v>
      </c>
      <c r="K322" s="67"/>
    </row>
    <row r="323" ht="24" customHeight="1" spans="1:11">
      <c r="A323" s="42">
        <v>241</v>
      </c>
      <c r="B323" s="54" t="s">
        <v>1643</v>
      </c>
      <c r="C323" s="41" t="s">
        <v>13</v>
      </c>
      <c r="D323" s="41" t="s">
        <v>1302</v>
      </c>
      <c r="E323" s="41" t="s">
        <v>1303</v>
      </c>
      <c r="F323" s="41"/>
      <c r="G323" s="51" t="s">
        <v>1312</v>
      </c>
      <c r="H323" s="45" t="s">
        <v>1305</v>
      </c>
      <c r="I323" s="46">
        <v>190.5</v>
      </c>
      <c r="J323" s="47">
        <v>42051</v>
      </c>
      <c r="K323" s="65" t="s">
        <v>1644</v>
      </c>
    </row>
    <row r="324" ht="24" customHeight="1" spans="1:11">
      <c r="A324" s="42"/>
      <c r="B324" s="54" t="s">
        <v>1645</v>
      </c>
      <c r="C324" s="41" t="s">
        <v>1307</v>
      </c>
      <c r="D324" s="41" t="s">
        <v>1308</v>
      </c>
      <c r="E324" s="41" t="s">
        <v>1309</v>
      </c>
      <c r="F324" s="41"/>
      <c r="G324" s="51" t="s">
        <v>1312</v>
      </c>
      <c r="H324" s="45" t="s">
        <v>1305</v>
      </c>
      <c r="I324" s="46">
        <v>159.5</v>
      </c>
      <c r="J324" s="47"/>
      <c r="K324" s="66"/>
    </row>
    <row r="325" ht="24" customHeight="1" spans="1:11">
      <c r="A325" s="42">
        <v>242</v>
      </c>
      <c r="B325" s="54" t="s">
        <v>1645</v>
      </c>
      <c r="C325" s="41" t="s">
        <v>322</v>
      </c>
      <c r="D325" s="41" t="s">
        <v>1302</v>
      </c>
      <c r="E325" s="41" t="s">
        <v>1303</v>
      </c>
      <c r="F325" s="41"/>
      <c r="G325" s="51" t="s">
        <v>1312</v>
      </c>
      <c r="H325" s="45" t="s">
        <v>1305</v>
      </c>
      <c r="I325" s="46">
        <v>159.5</v>
      </c>
      <c r="J325" s="47">
        <v>42051</v>
      </c>
      <c r="K325" s="67"/>
    </row>
    <row r="326" ht="24" customHeight="1" spans="1:11">
      <c r="A326" s="42">
        <v>243</v>
      </c>
      <c r="B326" s="54" t="s">
        <v>1646</v>
      </c>
      <c r="C326" s="41" t="s">
        <v>322</v>
      </c>
      <c r="D326" s="41" t="s">
        <v>1302</v>
      </c>
      <c r="E326" s="41" t="s">
        <v>1303</v>
      </c>
      <c r="F326" s="41"/>
      <c r="G326" s="51" t="s">
        <v>1312</v>
      </c>
      <c r="H326" s="45" t="s">
        <v>1305</v>
      </c>
      <c r="I326" s="46">
        <v>389.08</v>
      </c>
      <c r="J326" s="47">
        <v>42051</v>
      </c>
      <c r="K326" s="41" t="s">
        <v>1647</v>
      </c>
    </row>
    <row r="327" ht="24" customHeight="1" spans="1:11">
      <c r="A327" s="76" t="s">
        <v>1648</v>
      </c>
      <c r="B327" s="77"/>
      <c r="C327" s="77"/>
      <c r="D327" s="77"/>
      <c r="E327" s="77"/>
      <c r="F327" s="77"/>
      <c r="G327" s="77"/>
      <c r="H327" s="78"/>
      <c r="I327" s="41">
        <f>SUM(I44:I326)</f>
        <v>47522.8000000001</v>
      </c>
      <c r="J327" s="41"/>
      <c r="K327" s="41"/>
    </row>
    <row r="328" ht="24.75" customHeight="1" spans="1:11">
      <c r="A328" s="79" t="s">
        <v>1649</v>
      </c>
      <c r="B328" s="79"/>
      <c r="C328" s="79"/>
      <c r="D328" s="79"/>
      <c r="E328" s="79"/>
      <c r="F328" s="79"/>
      <c r="G328" s="79"/>
      <c r="H328" s="79"/>
      <c r="I328" s="79"/>
      <c r="J328" s="79"/>
      <c r="K328" s="79"/>
    </row>
    <row r="329" ht="51.75" customHeight="1" spans="1:11">
      <c r="A329" s="80" t="s">
        <v>1650</v>
      </c>
      <c r="B329" s="80"/>
      <c r="C329" s="80"/>
      <c r="D329" s="80"/>
      <c r="E329" s="80"/>
      <c r="F329" s="80"/>
      <c r="G329" s="80"/>
      <c r="H329" s="80"/>
      <c r="I329" s="80"/>
      <c r="J329" s="80"/>
      <c r="K329" s="80"/>
    </row>
  </sheetData>
  <mergeCells count="110">
    <mergeCell ref="A327:H327"/>
    <mergeCell ref="A328:K328"/>
    <mergeCell ref="A329:K329"/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K35:K37"/>
    <mergeCell ref="K38:K40"/>
    <mergeCell ref="K41:K43"/>
    <mergeCell ref="K44:K46"/>
    <mergeCell ref="K47:K49"/>
    <mergeCell ref="K50:K52"/>
    <mergeCell ref="K53:K54"/>
    <mergeCell ref="K55:K57"/>
    <mergeCell ref="K58:K60"/>
    <mergeCell ref="K61:K63"/>
    <mergeCell ref="K64:K66"/>
    <mergeCell ref="K67:K69"/>
    <mergeCell ref="K70:K72"/>
    <mergeCell ref="K73:K75"/>
    <mergeCell ref="K77:K79"/>
    <mergeCell ref="K80:K82"/>
    <mergeCell ref="K83:K84"/>
    <mergeCell ref="K85:K87"/>
    <mergeCell ref="K88:K90"/>
    <mergeCell ref="K91:K93"/>
    <mergeCell ref="K94:K96"/>
    <mergeCell ref="K97:K99"/>
    <mergeCell ref="K100:K102"/>
    <mergeCell ref="K103:K105"/>
    <mergeCell ref="K106:K108"/>
    <mergeCell ref="K109:K111"/>
    <mergeCell ref="K112:K114"/>
    <mergeCell ref="K115:K117"/>
    <mergeCell ref="K118:K120"/>
    <mergeCell ref="K121:K123"/>
    <mergeCell ref="K124:K126"/>
    <mergeCell ref="K127:K129"/>
    <mergeCell ref="K130:K132"/>
    <mergeCell ref="K133:K135"/>
    <mergeCell ref="K136:K138"/>
    <mergeCell ref="K139:K140"/>
    <mergeCell ref="K141:K143"/>
    <mergeCell ref="K144:K146"/>
    <mergeCell ref="K147:K149"/>
    <mergeCell ref="K150:K152"/>
    <mergeCell ref="K153:K155"/>
    <mergeCell ref="K156:K158"/>
    <mergeCell ref="K159:K161"/>
    <mergeCell ref="K162:K163"/>
    <mergeCell ref="K164:K165"/>
    <mergeCell ref="K166:K167"/>
    <mergeCell ref="K168:K169"/>
    <mergeCell ref="K170:K171"/>
    <mergeCell ref="K172:K173"/>
    <mergeCell ref="K174:K176"/>
    <mergeCell ref="K177:K179"/>
    <mergeCell ref="K180:K182"/>
    <mergeCell ref="K183:K185"/>
    <mergeCell ref="K186:K188"/>
    <mergeCell ref="K189:K191"/>
    <mergeCell ref="K192:K194"/>
    <mergeCell ref="K195:K197"/>
    <mergeCell ref="K198:K200"/>
    <mergeCell ref="K201:K203"/>
    <mergeCell ref="K204:K206"/>
    <mergeCell ref="K207:K209"/>
    <mergeCell ref="K211:K213"/>
    <mergeCell ref="K214:K216"/>
    <mergeCell ref="K217:K219"/>
    <mergeCell ref="K220:K222"/>
    <mergeCell ref="K223:K225"/>
    <mergeCell ref="K226:K228"/>
    <mergeCell ref="K229:K231"/>
    <mergeCell ref="K232:K234"/>
    <mergeCell ref="K235:K237"/>
    <mergeCell ref="K238:K240"/>
    <mergeCell ref="K241:K243"/>
    <mergeCell ref="K244:K246"/>
    <mergeCell ref="K247:K249"/>
    <mergeCell ref="K250:K252"/>
    <mergeCell ref="K253:K255"/>
    <mergeCell ref="K256:K258"/>
    <mergeCell ref="K259:K261"/>
    <mergeCell ref="K262:K264"/>
    <mergeCell ref="K265:K267"/>
    <mergeCell ref="K268:K270"/>
    <mergeCell ref="K271:K273"/>
    <mergeCell ref="K274:K276"/>
    <mergeCell ref="K277:K279"/>
    <mergeCell ref="K280:K282"/>
    <mergeCell ref="K283:K285"/>
    <mergeCell ref="K286:K288"/>
    <mergeCell ref="K289:K291"/>
    <mergeCell ref="K292:K294"/>
    <mergeCell ref="K298:K300"/>
    <mergeCell ref="K301:K303"/>
    <mergeCell ref="K304:K306"/>
    <mergeCell ref="K312:K314"/>
    <mergeCell ref="K317:K318"/>
    <mergeCell ref="K320:K322"/>
    <mergeCell ref="K323:K325"/>
  </mergeCells>
  <pageMargins left="0.36" right="0.34" top="0.36" bottom="0.748031496062992" header="0.31496062992126" footer="0.31496062992126"/>
  <pageSetup paperSize="9" orientation="landscape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view="pageBreakPreview" zoomScale="115" zoomScaleNormal="115" workbookViewId="0">
      <selection activeCell="B2" sqref="B2"/>
    </sheetView>
  </sheetViews>
  <sheetFormatPr defaultColWidth="9" defaultRowHeight="14"/>
  <cols>
    <col min="1" max="1" width="4.27272727272727" customWidth="1"/>
    <col min="2" max="2" width="25.2090909090909" customWidth="1"/>
    <col min="3" max="6" width="10.5" customWidth="1"/>
    <col min="7" max="7" width="11.5" customWidth="1"/>
    <col min="8" max="8" width="10.6272727272727" customWidth="1"/>
    <col min="9" max="9" width="16.5" customWidth="1"/>
    <col min="10" max="10" width="28" customWidth="1"/>
  </cols>
  <sheetData>
    <row r="1" ht="39" spans="1:11">
      <c r="A1" s="1" t="s">
        <v>0</v>
      </c>
      <c r="B1" s="2" t="s">
        <v>741</v>
      </c>
      <c r="C1" s="2" t="s">
        <v>1295</v>
      </c>
      <c r="D1" s="2" t="s">
        <v>1651</v>
      </c>
      <c r="E1" s="2" t="s">
        <v>1652</v>
      </c>
      <c r="F1" s="2" t="s">
        <v>1653</v>
      </c>
      <c r="G1" s="2" t="s">
        <v>1654</v>
      </c>
      <c r="H1" s="2" t="s">
        <v>1655</v>
      </c>
      <c r="I1" s="2" t="s">
        <v>9</v>
      </c>
      <c r="J1" s="2" t="s">
        <v>1656</v>
      </c>
    </row>
    <row r="2" spans="1:11">
      <c r="A2" s="2">
        <v>1</v>
      </c>
      <c r="B2" s="3" t="s">
        <v>1657</v>
      </c>
      <c r="C2" s="3" t="s">
        <v>1307</v>
      </c>
      <c r="D2" s="2" t="s">
        <v>1658</v>
      </c>
      <c r="E2" s="2">
        <v>0.7</v>
      </c>
      <c r="F2" s="2">
        <v>20</v>
      </c>
      <c r="G2" s="2">
        <v>100</v>
      </c>
      <c r="H2" s="2">
        <v>720</v>
      </c>
      <c r="I2" s="4">
        <v>37963</v>
      </c>
      <c r="J2" s="2" t="s">
        <v>1659</v>
      </c>
    </row>
    <row r="3" spans="1:11">
      <c r="A3" s="2">
        <v>2</v>
      </c>
      <c r="B3" s="2" t="s">
        <v>1660</v>
      </c>
      <c r="C3" s="3" t="s">
        <v>1307</v>
      </c>
      <c r="D3" s="2" t="s">
        <v>1658</v>
      </c>
      <c r="E3" s="2">
        <v>0.7</v>
      </c>
      <c r="F3" s="2">
        <v>20</v>
      </c>
      <c r="G3" s="2">
        <v>100</v>
      </c>
      <c r="H3" s="2">
        <v>75</v>
      </c>
      <c r="I3" s="4">
        <v>37963</v>
      </c>
      <c r="J3" s="2"/>
    </row>
    <row r="4" spans="1:11">
      <c r="A4" s="2">
        <v>3</v>
      </c>
      <c r="B4" s="2" t="s">
        <v>1661</v>
      </c>
      <c r="C4" s="3" t="s">
        <v>1307</v>
      </c>
      <c r="D4" s="2" t="s">
        <v>1658</v>
      </c>
      <c r="E4" s="2">
        <v>0.7</v>
      </c>
      <c r="F4" s="2">
        <v>20</v>
      </c>
      <c r="G4" s="2">
        <v>100</v>
      </c>
      <c r="H4" s="2">
        <v>20</v>
      </c>
      <c r="I4" s="4">
        <v>37963</v>
      </c>
      <c r="J4" s="2"/>
    </row>
    <row r="5" spans="1:11">
      <c r="A5" s="2">
        <v>4</v>
      </c>
      <c r="B5" s="2" t="s">
        <v>1662</v>
      </c>
      <c r="C5" s="3" t="s">
        <v>1307</v>
      </c>
      <c r="D5" s="2" t="s">
        <v>1658</v>
      </c>
      <c r="E5" s="2">
        <v>0.7</v>
      </c>
      <c r="F5" s="2">
        <v>20</v>
      </c>
      <c r="G5" s="2">
        <v>100</v>
      </c>
      <c r="H5" s="2">
        <v>60</v>
      </c>
      <c r="I5" s="4">
        <v>37963</v>
      </c>
      <c r="J5" s="2"/>
    </row>
    <row r="6" spans="1:11">
      <c r="A6" s="2">
        <v>5</v>
      </c>
      <c r="B6" s="2" t="s">
        <v>1663</v>
      </c>
      <c r="C6" s="3" t="s">
        <v>1307</v>
      </c>
      <c r="D6" s="2" t="s">
        <v>1658</v>
      </c>
      <c r="E6" s="2">
        <v>0.7</v>
      </c>
      <c r="F6" s="2">
        <v>20</v>
      </c>
      <c r="G6" s="2">
        <v>100</v>
      </c>
      <c r="H6" s="2">
        <v>60</v>
      </c>
      <c r="I6" s="4">
        <v>37963</v>
      </c>
      <c r="J6" s="2"/>
    </row>
    <row r="7" spans="1:11">
      <c r="A7" s="2">
        <v>6</v>
      </c>
      <c r="B7" s="2" t="s">
        <v>1664</v>
      </c>
      <c r="C7" s="3" t="s">
        <v>1307</v>
      </c>
      <c r="D7" s="2" t="s">
        <v>1658</v>
      </c>
      <c r="E7" s="2">
        <v>0.7</v>
      </c>
      <c r="F7" s="2">
        <v>20</v>
      </c>
      <c r="G7" s="2">
        <v>100</v>
      </c>
      <c r="H7" s="2">
        <v>45</v>
      </c>
      <c r="I7" s="4">
        <v>37963</v>
      </c>
      <c r="J7" s="2"/>
    </row>
    <row r="8" spans="1:11">
      <c r="A8" s="2">
        <v>7</v>
      </c>
      <c r="B8" s="2" t="s">
        <v>1665</v>
      </c>
      <c r="C8" s="3" t="s">
        <v>1307</v>
      </c>
      <c r="D8" s="2" t="s">
        <v>1658</v>
      </c>
      <c r="E8" s="2">
        <v>0.7</v>
      </c>
      <c r="F8" s="2">
        <v>20</v>
      </c>
      <c r="G8" s="2">
        <v>100</v>
      </c>
      <c r="H8" s="2">
        <v>60</v>
      </c>
      <c r="I8" s="4">
        <v>37963</v>
      </c>
      <c r="J8" s="2"/>
    </row>
    <row r="9" spans="1:11">
      <c r="A9" s="2">
        <v>8</v>
      </c>
      <c r="B9" s="2" t="s">
        <v>1666</v>
      </c>
      <c r="C9" s="3" t="s">
        <v>1307</v>
      </c>
      <c r="D9" s="2" t="s">
        <v>1658</v>
      </c>
      <c r="E9" s="2">
        <v>0.7</v>
      </c>
      <c r="F9" s="2">
        <v>20</v>
      </c>
      <c r="G9" s="2">
        <v>100</v>
      </c>
      <c r="H9" s="2">
        <v>10</v>
      </c>
      <c r="I9" s="4">
        <v>37963</v>
      </c>
      <c r="J9" s="2"/>
      <c r="K9" s="36"/>
    </row>
    <row r="10" spans="1:11">
      <c r="A10" s="2">
        <v>9</v>
      </c>
      <c r="B10" s="2" t="s">
        <v>1667</v>
      </c>
      <c r="C10" s="3" t="s">
        <v>1307</v>
      </c>
      <c r="D10" s="2" t="s">
        <v>1658</v>
      </c>
      <c r="E10" s="2">
        <v>0.7</v>
      </c>
      <c r="F10" s="2">
        <v>20</v>
      </c>
      <c r="G10" s="2">
        <v>100</v>
      </c>
      <c r="H10" s="2">
        <v>60</v>
      </c>
      <c r="I10" s="4">
        <v>37963</v>
      </c>
      <c r="J10" s="2"/>
    </row>
    <row r="11" spans="1:11">
      <c r="A11" s="2">
        <v>10</v>
      </c>
      <c r="B11" s="2" t="s">
        <v>1668</v>
      </c>
      <c r="C11" s="3" t="s">
        <v>1307</v>
      </c>
      <c r="D11" s="2" t="s">
        <v>1658</v>
      </c>
      <c r="E11" s="2">
        <v>0.7</v>
      </c>
      <c r="F11" s="2">
        <v>20</v>
      </c>
      <c r="G11" s="2">
        <v>100</v>
      </c>
      <c r="H11" s="2">
        <v>30</v>
      </c>
      <c r="I11" s="4">
        <v>37963</v>
      </c>
      <c r="J11" s="2"/>
    </row>
    <row r="12" spans="1:11">
      <c r="A12" s="2">
        <v>11</v>
      </c>
      <c r="B12" s="2" t="s">
        <v>1669</v>
      </c>
      <c r="C12" s="3" t="s">
        <v>1307</v>
      </c>
      <c r="D12" s="2" t="s">
        <v>1658</v>
      </c>
      <c r="E12" s="2">
        <v>0.7</v>
      </c>
      <c r="F12" s="2">
        <v>20</v>
      </c>
      <c r="G12" s="2">
        <v>100</v>
      </c>
      <c r="H12" s="2">
        <v>40</v>
      </c>
      <c r="I12" s="4">
        <v>37963</v>
      </c>
      <c r="J12" s="2"/>
    </row>
    <row r="13" spans="1:11">
      <c r="A13" s="2">
        <v>12</v>
      </c>
      <c r="B13" s="2" t="s">
        <v>1670</v>
      </c>
      <c r="C13" s="3" t="s">
        <v>1307</v>
      </c>
      <c r="D13" s="2" t="s">
        <v>1658</v>
      </c>
      <c r="E13" s="2">
        <v>0.7</v>
      </c>
      <c r="F13" s="2">
        <v>20</v>
      </c>
      <c r="G13" s="2">
        <v>100</v>
      </c>
      <c r="H13" s="2">
        <v>45</v>
      </c>
      <c r="I13" s="4">
        <v>37963</v>
      </c>
      <c r="J13" s="2"/>
    </row>
    <row r="14" spans="1:11">
      <c r="A14" s="2">
        <v>13</v>
      </c>
      <c r="B14" s="2" t="s">
        <v>1671</v>
      </c>
      <c r="C14" s="3" t="s">
        <v>1307</v>
      </c>
      <c r="D14" s="2" t="s">
        <v>1658</v>
      </c>
      <c r="E14" s="2">
        <v>0.7</v>
      </c>
      <c r="F14" s="2">
        <v>20</v>
      </c>
      <c r="G14" s="2">
        <v>100</v>
      </c>
      <c r="H14" s="2">
        <v>60</v>
      </c>
      <c r="I14" s="4">
        <v>37963</v>
      </c>
      <c r="J14" s="2"/>
    </row>
    <row r="15" spans="1:11">
      <c r="A15" s="2">
        <v>14</v>
      </c>
      <c r="B15" s="2" t="s">
        <v>1672</v>
      </c>
      <c r="C15" s="3" t="s">
        <v>1307</v>
      </c>
      <c r="D15" s="2" t="s">
        <v>1658</v>
      </c>
      <c r="E15" s="2">
        <v>0.7</v>
      </c>
      <c r="F15" s="2">
        <v>20</v>
      </c>
      <c r="G15" s="2">
        <v>100</v>
      </c>
      <c r="H15" s="2">
        <v>1724</v>
      </c>
      <c r="I15" s="4">
        <v>37963</v>
      </c>
      <c r="J15" s="2"/>
    </row>
    <row r="16" spans="1:11">
      <c r="A16" s="2">
        <v>15</v>
      </c>
      <c r="B16" s="2" t="s">
        <v>1673</v>
      </c>
      <c r="C16" s="3" t="s">
        <v>1307</v>
      </c>
      <c r="D16" s="2" t="s">
        <v>1658</v>
      </c>
      <c r="E16" s="2">
        <v>0.7</v>
      </c>
      <c r="F16" s="2">
        <v>20</v>
      </c>
      <c r="G16" s="2">
        <v>100</v>
      </c>
      <c r="H16" s="2">
        <v>60</v>
      </c>
      <c r="I16" s="4">
        <v>37963</v>
      </c>
      <c r="J16" s="2"/>
    </row>
    <row r="17" spans="1:10">
      <c r="A17" s="2">
        <v>16</v>
      </c>
      <c r="B17" s="2" t="s">
        <v>1674</v>
      </c>
      <c r="C17" s="3" t="s">
        <v>1307</v>
      </c>
      <c r="D17" s="2" t="s">
        <v>1658</v>
      </c>
      <c r="E17" s="2">
        <v>0.7</v>
      </c>
      <c r="F17" s="2">
        <v>20</v>
      </c>
      <c r="G17" s="2">
        <v>100</v>
      </c>
      <c r="H17" s="2">
        <v>60</v>
      </c>
      <c r="I17" s="4">
        <v>37963</v>
      </c>
      <c r="J17" s="2"/>
    </row>
    <row r="18" spans="1:10">
      <c r="A18" s="2">
        <v>17</v>
      </c>
      <c r="B18" s="2" t="s">
        <v>1675</v>
      </c>
      <c r="C18" s="3" t="s">
        <v>1307</v>
      </c>
      <c r="D18" s="2" t="s">
        <v>1658</v>
      </c>
      <c r="E18" s="2">
        <v>0.7</v>
      </c>
      <c r="F18" s="2">
        <v>20</v>
      </c>
      <c r="G18" s="2">
        <v>100</v>
      </c>
      <c r="H18" s="2">
        <v>50</v>
      </c>
      <c r="I18" s="4">
        <v>37963</v>
      </c>
      <c r="J18" s="2"/>
    </row>
    <row r="19" spans="1:10">
      <c r="A19" s="2">
        <v>18</v>
      </c>
      <c r="B19" s="2" t="s">
        <v>1676</v>
      </c>
      <c r="C19" s="3" t="s">
        <v>1307</v>
      </c>
      <c r="D19" s="2" t="s">
        <v>1658</v>
      </c>
      <c r="E19" s="2">
        <v>0.7</v>
      </c>
      <c r="F19" s="2">
        <v>20</v>
      </c>
      <c r="G19" s="2">
        <v>100</v>
      </c>
      <c r="H19" s="2">
        <v>75</v>
      </c>
      <c r="I19" s="4">
        <v>37963</v>
      </c>
      <c r="J19" s="2"/>
    </row>
    <row r="20" spans="1:10">
      <c r="A20" s="2">
        <v>19</v>
      </c>
      <c r="B20" s="2" t="s">
        <v>1677</v>
      </c>
      <c r="C20" s="3" t="s">
        <v>1307</v>
      </c>
      <c r="D20" s="2" t="s">
        <v>1658</v>
      </c>
      <c r="E20" s="2">
        <v>0.7</v>
      </c>
      <c r="F20" s="2">
        <v>20</v>
      </c>
      <c r="G20" s="2">
        <v>100</v>
      </c>
      <c r="H20" s="2">
        <v>424</v>
      </c>
      <c r="I20" s="4">
        <v>37963</v>
      </c>
      <c r="J20" s="2"/>
    </row>
    <row r="21" spans="1:10">
      <c r="A21" s="2">
        <v>20</v>
      </c>
      <c r="B21" s="2" t="s">
        <v>1678</v>
      </c>
      <c r="C21" s="3" t="s">
        <v>1307</v>
      </c>
      <c r="D21" s="2" t="s">
        <v>1658</v>
      </c>
      <c r="E21" s="2">
        <v>0.7</v>
      </c>
      <c r="F21" s="2">
        <v>20</v>
      </c>
      <c r="G21" s="2">
        <v>100</v>
      </c>
      <c r="H21" s="2">
        <v>60</v>
      </c>
      <c r="I21" s="4">
        <v>37963</v>
      </c>
      <c r="J21" s="2"/>
    </row>
    <row r="22" spans="1:10">
      <c r="A22" s="2">
        <v>21</v>
      </c>
      <c r="B22" s="2" t="s">
        <v>1679</v>
      </c>
      <c r="C22" s="3" t="s">
        <v>1307</v>
      </c>
      <c r="D22" s="2" t="s">
        <v>1658</v>
      </c>
      <c r="E22" s="2">
        <v>0.7</v>
      </c>
      <c r="F22" s="2">
        <v>20</v>
      </c>
      <c r="G22" s="2">
        <v>100</v>
      </c>
      <c r="H22" s="2">
        <v>300</v>
      </c>
      <c r="I22" s="4">
        <v>37963</v>
      </c>
      <c r="J22" s="2"/>
    </row>
    <row r="23" spans="1:10">
      <c r="A23" s="2">
        <v>22</v>
      </c>
      <c r="B23" s="2" t="s">
        <v>1680</v>
      </c>
      <c r="C23" s="3" t="s">
        <v>1307</v>
      </c>
      <c r="D23" s="2" t="s">
        <v>1658</v>
      </c>
      <c r="E23" s="2">
        <v>0.7</v>
      </c>
      <c r="F23" s="2">
        <v>20</v>
      </c>
      <c r="G23" s="2">
        <v>100</v>
      </c>
      <c r="H23" s="2">
        <v>30</v>
      </c>
      <c r="I23" s="4">
        <v>37963</v>
      </c>
      <c r="J23" s="2"/>
    </row>
    <row r="24" spans="1:10">
      <c r="A24" s="2">
        <v>23</v>
      </c>
      <c r="B24" s="2" t="s">
        <v>1681</v>
      </c>
      <c r="C24" s="3" t="s">
        <v>1307</v>
      </c>
      <c r="D24" s="2" t="s">
        <v>1658</v>
      </c>
      <c r="E24" s="2">
        <v>0.7</v>
      </c>
      <c r="F24" s="2">
        <v>20</v>
      </c>
      <c r="G24" s="2">
        <v>100</v>
      </c>
      <c r="H24" s="2">
        <v>30</v>
      </c>
      <c r="I24" s="4">
        <v>37963</v>
      </c>
      <c r="J24" s="2"/>
    </row>
    <row r="25" spans="1:10">
      <c r="A25" s="2">
        <v>24</v>
      </c>
      <c r="B25" s="2" t="s">
        <v>1682</v>
      </c>
      <c r="C25" s="3" t="s">
        <v>1307</v>
      </c>
      <c r="D25" s="2" t="s">
        <v>1658</v>
      </c>
      <c r="E25" s="2">
        <v>0.7</v>
      </c>
      <c r="F25" s="2">
        <v>20</v>
      </c>
      <c r="G25" s="2">
        <v>100</v>
      </c>
      <c r="H25" s="2">
        <v>60</v>
      </c>
      <c r="I25" s="4">
        <v>37963</v>
      </c>
      <c r="J25" s="2"/>
    </row>
    <row r="26" spans="1:10">
      <c r="A26" s="2">
        <v>25</v>
      </c>
      <c r="B26" s="2" t="s">
        <v>1683</v>
      </c>
      <c r="C26" s="3" t="s">
        <v>1307</v>
      </c>
      <c r="D26" s="2" t="s">
        <v>1658</v>
      </c>
      <c r="E26" s="2">
        <v>0.7</v>
      </c>
      <c r="F26" s="2">
        <v>20</v>
      </c>
      <c r="G26" s="2">
        <v>100</v>
      </c>
      <c r="H26" s="2">
        <v>15</v>
      </c>
      <c r="I26" s="4">
        <v>37963</v>
      </c>
      <c r="J26" s="2"/>
    </row>
    <row r="27" spans="1:10">
      <c r="A27" s="2">
        <v>26</v>
      </c>
      <c r="B27" s="2" t="s">
        <v>1684</v>
      </c>
      <c r="C27" s="3" t="s">
        <v>1307</v>
      </c>
      <c r="D27" s="2" t="s">
        <v>1658</v>
      </c>
      <c r="E27" s="2">
        <v>0.7</v>
      </c>
      <c r="F27" s="2">
        <v>20</v>
      </c>
      <c r="G27" s="2">
        <v>100</v>
      </c>
      <c r="H27" s="2">
        <v>10</v>
      </c>
      <c r="I27" s="4">
        <v>37963</v>
      </c>
      <c r="J27" s="2"/>
    </row>
    <row r="28" spans="1:10">
      <c r="A28" s="2">
        <v>27</v>
      </c>
      <c r="B28" s="2" t="s">
        <v>1685</v>
      </c>
      <c r="C28" s="3" t="s">
        <v>1307</v>
      </c>
      <c r="D28" s="2" t="s">
        <v>1658</v>
      </c>
      <c r="E28" s="2">
        <v>0.7</v>
      </c>
      <c r="F28" s="2">
        <v>20</v>
      </c>
      <c r="G28" s="2">
        <v>100</v>
      </c>
      <c r="H28" s="2">
        <v>20</v>
      </c>
      <c r="I28" s="4">
        <v>37963</v>
      </c>
      <c r="J28" s="2"/>
    </row>
    <row r="29" spans="1:10">
      <c r="A29" s="2">
        <v>28</v>
      </c>
      <c r="B29" s="2" t="s">
        <v>1686</v>
      </c>
      <c r="C29" s="3" t="s">
        <v>1307</v>
      </c>
      <c r="D29" s="2" t="s">
        <v>1658</v>
      </c>
      <c r="E29" s="2">
        <v>0.7</v>
      </c>
      <c r="F29" s="2">
        <v>20</v>
      </c>
      <c r="G29" s="2">
        <v>100</v>
      </c>
      <c r="H29" s="2">
        <v>60</v>
      </c>
      <c r="I29" s="4">
        <v>37963</v>
      </c>
      <c r="J29" s="2"/>
    </row>
    <row r="30" spans="1:10">
      <c r="A30" s="2">
        <v>29</v>
      </c>
      <c r="B30" s="2" t="s">
        <v>1687</v>
      </c>
      <c r="C30" s="3" t="s">
        <v>1307</v>
      </c>
      <c r="D30" s="2" t="s">
        <v>1658</v>
      </c>
      <c r="E30" s="2">
        <v>0.7</v>
      </c>
      <c r="F30" s="2">
        <v>20</v>
      </c>
      <c r="G30" s="2">
        <v>100</v>
      </c>
      <c r="H30" s="2">
        <v>50</v>
      </c>
      <c r="I30" s="4">
        <v>37963</v>
      </c>
      <c r="J30" s="2"/>
    </row>
    <row r="31" spans="1:10">
      <c r="A31" s="2">
        <v>30</v>
      </c>
      <c r="B31" s="2" t="s">
        <v>1688</v>
      </c>
      <c r="C31" s="3" t="s">
        <v>1307</v>
      </c>
      <c r="D31" s="2" t="s">
        <v>1658</v>
      </c>
      <c r="E31" s="2">
        <v>0.7</v>
      </c>
      <c r="F31" s="2">
        <v>20</v>
      </c>
      <c r="G31" s="2">
        <v>100</v>
      </c>
      <c r="H31" s="2">
        <v>60</v>
      </c>
      <c r="I31" s="4">
        <v>37963</v>
      </c>
      <c r="J31" s="2"/>
    </row>
    <row r="32" spans="1:10">
      <c r="A32" s="2">
        <v>31</v>
      </c>
      <c r="B32" s="2" t="s">
        <v>1689</v>
      </c>
      <c r="C32" s="3" t="s">
        <v>1307</v>
      </c>
      <c r="D32" s="2" t="s">
        <v>1658</v>
      </c>
      <c r="E32" s="2">
        <v>0.7</v>
      </c>
      <c r="F32" s="2">
        <v>20</v>
      </c>
      <c r="G32" s="2">
        <v>100</v>
      </c>
      <c r="H32" s="2">
        <v>280</v>
      </c>
      <c r="I32" s="4">
        <v>37963</v>
      </c>
      <c r="J32" s="2"/>
    </row>
    <row r="33" spans="1:10">
      <c r="A33" s="2">
        <v>32</v>
      </c>
      <c r="B33" s="2" t="s">
        <v>1690</v>
      </c>
      <c r="C33" s="3" t="s">
        <v>1307</v>
      </c>
      <c r="D33" s="2" t="s">
        <v>1658</v>
      </c>
      <c r="E33" s="2">
        <v>0.7</v>
      </c>
      <c r="F33" s="2">
        <v>20</v>
      </c>
      <c r="G33" s="2">
        <v>100</v>
      </c>
      <c r="H33" s="2">
        <v>150</v>
      </c>
      <c r="I33" s="4">
        <v>37963</v>
      </c>
      <c r="J33" s="2"/>
    </row>
    <row r="34" spans="1:10">
      <c r="A34" s="2">
        <v>33</v>
      </c>
      <c r="B34" s="2" t="s">
        <v>1691</v>
      </c>
      <c r="C34" s="3" t="s">
        <v>1307</v>
      </c>
      <c r="D34" s="2" t="s">
        <v>1658</v>
      </c>
      <c r="E34" s="2">
        <v>0.7</v>
      </c>
      <c r="F34" s="2">
        <v>20</v>
      </c>
      <c r="G34" s="2">
        <v>100</v>
      </c>
      <c r="H34" s="2">
        <v>960</v>
      </c>
      <c r="I34" s="4">
        <v>37963</v>
      </c>
      <c r="J34" s="2"/>
    </row>
    <row r="35" spans="1:10">
      <c r="A35" s="2">
        <v>34</v>
      </c>
      <c r="B35" s="2" t="s">
        <v>1692</v>
      </c>
      <c r="C35" s="3" t="s">
        <v>1307</v>
      </c>
      <c r="D35" s="2" t="s">
        <v>1658</v>
      </c>
      <c r="E35" s="2">
        <v>0.7</v>
      </c>
      <c r="F35" s="2">
        <v>20</v>
      </c>
      <c r="G35" s="2">
        <v>100</v>
      </c>
      <c r="H35" s="2">
        <v>1420</v>
      </c>
      <c r="I35" s="4">
        <v>37963</v>
      </c>
      <c r="J35" s="2"/>
    </row>
    <row r="36" spans="1:10">
      <c r="A36" s="2">
        <v>35</v>
      </c>
      <c r="B36" s="2" t="s">
        <v>1693</v>
      </c>
      <c r="C36" s="3" t="s">
        <v>1307</v>
      </c>
      <c r="D36" s="2" t="s">
        <v>1658</v>
      </c>
      <c r="E36" s="2">
        <v>0.7</v>
      </c>
      <c r="F36" s="2">
        <v>20</v>
      </c>
      <c r="G36" s="2">
        <v>100</v>
      </c>
      <c r="H36" s="2">
        <v>45</v>
      </c>
      <c r="I36" s="4">
        <v>37963</v>
      </c>
      <c r="J36" s="2"/>
    </row>
    <row r="37" spans="1:10">
      <c r="A37" s="2">
        <v>36</v>
      </c>
      <c r="B37" s="2" t="s">
        <v>1694</v>
      </c>
      <c r="C37" s="3" t="s">
        <v>1307</v>
      </c>
      <c r="D37" s="2" t="s">
        <v>1658</v>
      </c>
      <c r="E37" s="2">
        <v>0.7</v>
      </c>
      <c r="F37" s="2">
        <v>20</v>
      </c>
      <c r="G37" s="2">
        <v>100</v>
      </c>
      <c r="H37" s="2">
        <v>60</v>
      </c>
      <c r="I37" s="4">
        <v>37963</v>
      </c>
      <c r="J37" s="2"/>
    </row>
    <row r="38" spans="1:10">
      <c r="A38" s="2">
        <v>37</v>
      </c>
      <c r="B38" s="2" t="s">
        <v>1695</v>
      </c>
      <c r="C38" s="3" t="s">
        <v>1307</v>
      </c>
      <c r="D38" s="2" t="s">
        <v>1658</v>
      </c>
      <c r="E38" s="2">
        <v>0.7</v>
      </c>
      <c r="F38" s="2">
        <v>20</v>
      </c>
      <c r="G38" s="2">
        <v>100</v>
      </c>
      <c r="H38" s="2">
        <v>60</v>
      </c>
      <c r="I38" s="4">
        <v>37963</v>
      </c>
      <c r="J38" s="2"/>
    </row>
    <row r="39" spans="1:10">
      <c r="A39" s="2">
        <v>38</v>
      </c>
      <c r="B39" s="2" t="s">
        <v>1696</v>
      </c>
      <c r="C39" s="3" t="s">
        <v>1307</v>
      </c>
      <c r="D39" s="2" t="s">
        <v>1658</v>
      </c>
      <c r="E39" s="2">
        <v>0.7</v>
      </c>
      <c r="F39" s="2">
        <v>20</v>
      </c>
      <c r="G39" s="2">
        <v>100</v>
      </c>
      <c r="H39" s="2">
        <v>20</v>
      </c>
      <c r="I39" s="4">
        <v>37963</v>
      </c>
      <c r="J39" s="2"/>
    </row>
    <row r="40" spans="1:10">
      <c r="A40" s="2">
        <v>39</v>
      </c>
      <c r="B40" s="2" t="s">
        <v>1697</v>
      </c>
      <c r="C40" s="3" t="s">
        <v>1307</v>
      </c>
      <c r="D40" s="2" t="s">
        <v>1658</v>
      </c>
      <c r="E40" s="2">
        <v>0.7</v>
      </c>
      <c r="F40" s="2">
        <v>20</v>
      </c>
      <c r="G40" s="2">
        <v>100</v>
      </c>
      <c r="H40" s="2">
        <v>480</v>
      </c>
      <c r="I40" s="4">
        <v>37963</v>
      </c>
      <c r="J40" s="2"/>
    </row>
    <row r="41" spans="1:10">
      <c r="A41" s="2">
        <v>40</v>
      </c>
      <c r="B41" s="2" t="s">
        <v>1698</v>
      </c>
      <c r="C41" s="3" t="s">
        <v>1307</v>
      </c>
      <c r="D41" s="2" t="s">
        <v>1658</v>
      </c>
      <c r="E41" s="2">
        <v>0.7</v>
      </c>
      <c r="F41" s="2">
        <v>20</v>
      </c>
      <c r="G41" s="2">
        <v>100</v>
      </c>
      <c r="H41" s="2">
        <v>255</v>
      </c>
      <c r="I41" s="4">
        <v>37963</v>
      </c>
      <c r="J41" s="2"/>
    </row>
    <row r="42" spans="1:10">
      <c r="A42" s="2">
        <v>41</v>
      </c>
      <c r="B42" s="2" t="s">
        <v>1699</v>
      </c>
      <c r="C42" s="3" t="s">
        <v>1307</v>
      </c>
      <c r="D42" s="2" t="s">
        <v>1658</v>
      </c>
      <c r="E42" s="2">
        <v>0.7</v>
      </c>
      <c r="F42" s="2">
        <v>20</v>
      </c>
      <c r="G42" s="2">
        <v>100</v>
      </c>
      <c r="H42" s="2">
        <v>60</v>
      </c>
      <c r="I42" s="4">
        <v>37963</v>
      </c>
      <c r="J42" s="2"/>
    </row>
    <row r="43" spans="1:10">
      <c r="A43" s="2">
        <v>42</v>
      </c>
      <c r="B43" s="2" t="s">
        <v>1700</v>
      </c>
      <c r="C43" s="3" t="s">
        <v>1307</v>
      </c>
      <c r="D43" s="2" t="s">
        <v>1658</v>
      </c>
      <c r="E43" s="2">
        <v>0.7</v>
      </c>
      <c r="F43" s="2">
        <v>20</v>
      </c>
      <c r="G43" s="2">
        <v>100</v>
      </c>
      <c r="H43" s="2">
        <v>5277</v>
      </c>
      <c r="I43" s="4">
        <v>37963</v>
      </c>
      <c r="J43" s="2"/>
    </row>
    <row r="44" spans="1:10">
      <c r="A44" s="2">
        <v>43</v>
      </c>
      <c r="B44" s="2" t="s">
        <v>1701</v>
      </c>
      <c r="C44" s="3" t="s">
        <v>1307</v>
      </c>
      <c r="D44" s="2" t="s">
        <v>1658</v>
      </c>
      <c r="E44" s="2">
        <v>0.7</v>
      </c>
      <c r="F44" s="2">
        <v>20</v>
      </c>
      <c r="G44" s="2">
        <v>100</v>
      </c>
      <c r="H44" s="2">
        <v>60</v>
      </c>
      <c r="I44" s="4">
        <v>37963</v>
      </c>
      <c r="J44" s="2"/>
    </row>
    <row r="45" spans="1:10">
      <c r="A45" s="2">
        <v>44</v>
      </c>
      <c r="B45" s="2" t="s">
        <v>1702</v>
      </c>
      <c r="C45" s="3" t="s">
        <v>1307</v>
      </c>
      <c r="D45" s="2" t="s">
        <v>1658</v>
      </c>
      <c r="E45" s="2">
        <v>0.7</v>
      </c>
      <c r="F45" s="2">
        <v>20</v>
      </c>
      <c r="G45" s="2">
        <v>100</v>
      </c>
      <c r="H45" s="2">
        <v>75</v>
      </c>
      <c r="I45" s="4">
        <v>37963</v>
      </c>
      <c r="J45" s="2"/>
    </row>
    <row r="46" spans="1:10">
      <c r="A46" s="2">
        <v>45</v>
      </c>
      <c r="B46" s="2" t="s">
        <v>1703</v>
      </c>
      <c r="C46" s="3" t="s">
        <v>1307</v>
      </c>
      <c r="D46" s="2" t="s">
        <v>1658</v>
      </c>
      <c r="E46" s="2">
        <v>0.7</v>
      </c>
      <c r="F46" s="2">
        <v>20</v>
      </c>
      <c r="G46" s="2">
        <v>100</v>
      </c>
      <c r="H46" s="2">
        <v>60</v>
      </c>
      <c r="I46" s="4">
        <v>37963</v>
      </c>
      <c r="J46" s="2"/>
    </row>
    <row r="47" spans="1:10">
      <c r="A47" s="2">
        <v>46</v>
      </c>
      <c r="B47" s="2" t="s">
        <v>1704</v>
      </c>
      <c r="C47" s="3" t="s">
        <v>1307</v>
      </c>
      <c r="D47" s="2" t="s">
        <v>1658</v>
      </c>
      <c r="E47" s="2">
        <v>0.7</v>
      </c>
      <c r="F47" s="2">
        <v>20</v>
      </c>
      <c r="G47" s="2">
        <v>100</v>
      </c>
      <c r="H47" s="2">
        <v>55</v>
      </c>
      <c r="I47" s="4">
        <v>37963</v>
      </c>
      <c r="J47" s="2"/>
    </row>
    <row r="48" spans="1:10">
      <c r="A48" s="2">
        <v>47</v>
      </c>
      <c r="B48" s="2" t="s">
        <v>1705</v>
      </c>
      <c r="C48" s="3" t="s">
        <v>1307</v>
      </c>
      <c r="D48" s="2" t="s">
        <v>1658</v>
      </c>
      <c r="E48" s="2">
        <v>0.7</v>
      </c>
      <c r="F48" s="2">
        <v>20</v>
      </c>
      <c r="G48" s="2">
        <v>100</v>
      </c>
      <c r="H48" s="2">
        <v>55</v>
      </c>
      <c r="I48" s="4">
        <v>37963</v>
      </c>
      <c r="J48" s="2"/>
    </row>
    <row r="49" spans="1:10">
      <c r="A49" s="2">
        <v>48</v>
      </c>
      <c r="B49" s="2" t="s">
        <v>1706</v>
      </c>
      <c r="C49" s="3" t="s">
        <v>1307</v>
      </c>
      <c r="D49" s="2" t="s">
        <v>1658</v>
      </c>
      <c r="E49" s="2">
        <v>0.7</v>
      </c>
      <c r="F49" s="2">
        <v>20</v>
      </c>
      <c r="G49" s="2">
        <v>100</v>
      </c>
      <c r="H49" s="2">
        <v>75</v>
      </c>
      <c r="I49" s="4">
        <v>37963</v>
      </c>
      <c r="J49" s="2"/>
    </row>
    <row r="50" spans="1:10">
      <c r="A50" s="2">
        <v>49</v>
      </c>
      <c r="B50" s="2" t="s">
        <v>1707</v>
      </c>
      <c r="C50" s="3" t="s">
        <v>1307</v>
      </c>
      <c r="D50" s="2" t="s">
        <v>1658</v>
      </c>
      <c r="E50" s="2">
        <v>0.7</v>
      </c>
      <c r="F50" s="2">
        <v>20</v>
      </c>
      <c r="G50" s="2">
        <v>100</v>
      </c>
      <c r="H50" s="2">
        <v>30</v>
      </c>
      <c r="I50" s="4">
        <v>37963</v>
      </c>
      <c r="J50" s="2"/>
    </row>
    <row r="51" spans="1:10">
      <c r="A51" s="2">
        <v>50</v>
      </c>
      <c r="B51" s="2" t="s">
        <v>1708</v>
      </c>
      <c r="C51" s="3" t="s">
        <v>1307</v>
      </c>
      <c r="D51" s="2" t="s">
        <v>1658</v>
      </c>
      <c r="E51" s="2">
        <v>0.7</v>
      </c>
      <c r="F51" s="2">
        <v>20</v>
      </c>
      <c r="G51" s="2">
        <v>100</v>
      </c>
      <c r="H51" s="2">
        <v>5730</v>
      </c>
      <c r="I51" s="4">
        <v>37963</v>
      </c>
      <c r="J51" s="2" t="s">
        <v>671</v>
      </c>
    </row>
    <row r="52" spans="1:10">
      <c r="A52" s="2">
        <v>51</v>
      </c>
      <c r="B52" s="2" t="s">
        <v>1709</v>
      </c>
      <c r="C52" s="3" t="s">
        <v>1307</v>
      </c>
      <c r="D52" s="2" t="s">
        <v>1658</v>
      </c>
      <c r="E52" s="2">
        <v>0.7</v>
      </c>
      <c r="F52" s="2">
        <v>20</v>
      </c>
      <c r="G52" s="2">
        <v>100</v>
      </c>
      <c r="H52" s="2">
        <v>45</v>
      </c>
      <c r="I52" s="4">
        <v>37963</v>
      </c>
      <c r="J52" s="2"/>
    </row>
    <row r="53" spans="1:10">
      <c r="A53" s="2">
        <v>52</v>
      </c>
      <c r="B53" s="2" t="s">
        <v>1710</v>
      </c>
      <c r="C53" s="3" t="s">
        <v>1307</v>
      </c>
      <c r="D53" s="2" t="s">
        <v>1658</v>
      </c>
      <c r="E53" s="2">
        <v>0.7</v>
      </c>
      <c r="F53" s="2">
        <v>20</v>
      </c>
      <c r="G53" s="2">
        <v>100</v>
      </c>
      <c r="H53" s="2">
        <v>45</v>
      </c>
      <c r="I53" s="4">
        <v>37963</v>
      </c>
      <c r="J53" s="2"/>
    </row>
    <row r="54" spans="1:10">
      <c r="A54" s="2">
        <v>53</v>
      </c>
      <c r="B54" s="2" t="s">
        <v>1711</v>
      </c>
      <c r="C54" s="3" t="s">
        <v>1307</v>
      </c>
      <c r="D54" s="2" t="s">
        <v>1658</v>
      </c>
      <c r="E54" s="2">
        <v>0.7</v>
      </c>
      <c r="F54" s="2">
        <v>20</v>
      </c>
      <c r="G54" s="2">
        <v>100</v>
      </c>
      <c r="H54" s="2">
        <v>60</v>
      </c>
      <c r="I54" s="4">
        <v>37963</v>
      </c>
      <c r="J54" s="2"/>
    </row>
    <row r="55" spans="1:10">
      <c r="A55" s="2">
        <v>54</v>
      </c>
      <c r="B55" s="2" t="s">
        <v>1712</v>
      </c>
      <c r="C55" s="3" t="s">
        <v>1307</v>
      </c>
      <c r="D55" s="2" t="s">
        <v>1658</v>
      </c>
      <c r="E55" s="2">
        <v>0.7</v>
      </c>
      <c r="F55" s="2">
        <v>20</v>
      </c>
      <c r="G55" s="2">
        <v>100</v>
      </c>
      <c r="H55" s="2">
        <v>25</v>
      </c>
      <c r="I55" s="4">
        <v>37963</v>
      </c>
      <c r="J55" s="2"/>
    </row>
    <row r="56" spans="1:10">
      <c r="A56" s="2">
        <v>55</v>
      </c>
      <c r="B56" s="2" t="s">
        <v>1713</v>
      </c>
      <c r="C56" s="3" t="s">
        <v>1714</v>
      </c>
      <c r="D56" s="2" t="s">
        <v>1658</v>
      </c>
      <c r="E56" s="2">
        <v>0.7</v>
      </c>
      <c r="F56" s="2">
        <v>20</v>
      </c>
      <c r="G56" s="2">
        <v>100</v>
      </c>
      <c r="H56" s="2">
        <v>1035</v>
      </c>
      <c r="I56" s="4">
        <v>37963</v>
      </c>
      <c r="J56" s="2"/>
    </row>
    <row r="57" ht="22.5" customHeight="1" spans="1:10">
      <c r="A57" s="6" t="s">
        <v>1715</v>
      </c>
      <c r="B57" s="7"/>
      <c r="C57" s="7"/>
      <c r="D57" s="7"/>
      <c r="E57" s="7"/>
      <c r="F57" s="7"/>
      <c r="G57" s="8"/>
      <c r="H57" s="2">
        <f>SUM(H2:H56)</f>
        <v>20790</v>
      </c>
      <c r="I57" s="2"/>
      <c r="J57" s="2"/>
    </row>
    <row r="58" ht="22.5" customHeight="1" spans="1:10">
      <c r="A58" s="9" t="s">
        <v>1716</v>
      </c>
      <c r="B58" s="9"/>
      <c r="C58" s="9"/>
      <c r="D58" s="9"/>
      <c r="E58" s="9"/>
      <c r="F58" s="9"/>
      <c r="G58" s="9"/>
      <c r="H58" s="9"/>
      <c r="I58" s="9"/>
      <c r="J58" s="9"/>
    </row>
    <row r="59" ht="39.75" customHeight="1" spans="1:10">
      <c r="A59" s="37" t="s">
        <v>1717</v>
      </c>
      <c r="B59" s="37"/>
      <c r="C59" s="37"/>
      <c r="D59" s="37"/>
      <c r="E59" s="37"/>
      <c r="F59" s="37"/>
      <c r="G59" s="37"/>
      <c r="H59" s="37"/>
      <c r="I59" s="37"/>
      <c r="J59" s="37"/>
    </row>
  </sheetData>
  <mergeCells count="3">
    <mergeCell ref="A57:G57"/>
    <mergeCell ref="A58:J58"/>
    <mergeCell ref="A59:J59"/>
  </mergeCells>
  <pageMargins left="0.54" right="0.37" top="0.38" bottom="0.748031496062992" header="0.31496062992126" footer="0.31496062992126"/>
  <pageSetup paperSize="9" orientation="landscape" horizontalDpi="1200" verticalDpi="12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topLeftCell="A2" workbookViewId="0">
      <selection activeCell="A2" sqref="A2:A71"/>
    </sheetView>
  </sheetViews>
  <sheetFormatPr defaultColWidth="9" defaultRowHeight="14"/>
  <cols>
    <col min="1" max="1" width="3.54545454545455" customWidth="1"/>
    <col min="2" max="2" width="11.5454545454545" customWidth="1"/>
    <col min="3" max="3" width="21.8727272727273" customWidth="1"/>
    <col min="4" max="7" width="12.6272727272727" customWidth="1"/>
    <col min="8" max="8" width="19.6272727272727" customWidth="1"/>
    <col min="9" max="9" width="26.6272727272727" customWidth="1"/>
  </cols>
  <sheetData>
    <row r="1" ht="26" spans="1:10">
      <c r="A1" s="18" t="s">
        <v>0</v>
      </c>
      <c r="B1" s="19" t="s">
        <v>1718</v>
      </c>
      <c r="C1" s="19" t="s">
        <v>741</v>
      </c>
      <c r="D1" s="19" t="s">
        <v>1295</v>
      </c>
      <c r="E1" s="19" t="s">
        <v>1719</v>
      </c>
      <c r="F1" s="19" t="s">
        <v>747</v>
      </c>
      <c r="G1" s="19" t="s">
        <v>1720</v>
      </c>
      <c r="H1" s="19" t="s">
        <v>9</v>
      </c>
      <c r="I1" s="19" t="s">
        <v>11</v>
      </c>
      <c r="J1" s="20"/>
    </row>
    <row r="2" ht="19.5" customHeight="1" spans="1:10">
      <c r="A2" s="21">
        <f>ROW(B2)-1</f>
        <v>1</v>
      </c>
      <c r="B2" s="21" t="s">
        <v>1721</v>
      </c>
      <c r="C2" s="19" t="s">
        <v>1722</v>
      </c>
      <c r="D2" s="19" t="s">
        <v>1307</v>
      </c>
      <c r="E2" s="21">
        <v>1.75</v>
      </c>
      <c r="F2" s="19">
        <v>27</v>
      </c>
      <c r="G2" s="21" t="s">
        <v>1723</v>
      </c>
      <c r="H2" s="22">
        <v>42156</v>
      </c>
      <c r="I2" s="19"/>
      <c r="J2" s="20"/>
    </row>
    <row r="3" ht="19.5" customHeight="1" spans="1:10">
      <c r="A3" s="21">
        <f>ROW(B3)-1</f>
        <v>2</v>
      </c>
      <c r="B3" s="21" t="s">
        <v>1721</v>
      </c>
      <c r="C3" s="19" t="s">
        <v>1724</v>
      </c>
      <c r="D3" s="19" t="s">
        <v>13</v>
      </c>
      <c r="E3" s="21">
        <v>1.75</v>
      </c>
      <c r="F3" s="19">
        <v>286</v>
      </c>
      <c r="G3" s="21" t="s">
        <v>1723</v>
      </c>
      <c r="H3" s="22">
        <v>37956</v>
      </c>
      <c r="I3" s="19"/>
      <c r="J3" s="20"/>
    </row>
    <row r="4" ht="19.5" customHeight="1" spans="1:10">
      <c r="A4" s="21">
        <f t="shared" ref="A4:A35" si="0">ROW(B4)-1</f>
        <v>3</v>
      </c>
      <c r="B4" s="21" t="s">
        <v>1721</v>
      </c>
      <c r="C4" s="19" t="s">
        <v>1725</v>
      </c>
      <c r="D4" s="19" t="s">
        <v>13</v>
      </c>
      <c r="E4" s="21">
        <v>1.75</v>
      </c>
      <c r="F4" s="19">
        <v>436</v>
      </c>
      <c r="G4" s="21" t="s">
        <v>1723</v>
      </c>
      <c r="H4" s="22">
        <v>37956</v>
      </c>
      <c r="I4" s="19"/>
      <c r="J4" s="20"/>
    </row>
    <row r="5" ht="19.5" customHeight="1" spans="1:10">
      <c r="A5" s="21">
        <f t="shared" si="0"/>
        <v>4</v>
      </c>
      <c r="B5" s="21" t="s">
        <v>1721</v>
      </c>
      <c r="C5" s="19" t="s">
        <v>1726</v>
      </c>
      <c r="D5" s="19" t="s">
        <v>1307</v>
      </c>
      <c r="E5" s="21">
        <v>1.75</v>
      </c>
      <c r="F5" s="19">
        <f>103*3</f>
        <v>309</v>
      </c>
      <c r="G5" s="21" t="s">
        <v>1723</v>
      </c>
      <c r="H5" s="22">
        <v>42156</v>
      </c>
      <c r="I5" s="19"/>
      <c r="J5" s="20"/>
    </row>
    <row r="6" ht="19.5" customHeight="1" spans="1:10">
      <c r="A6" s="21">
        <f t="shared" si="0"/>
        <v>5</v>
      </c>
      <c r="B6" s="21" t="s">
        <v>1721</v>
      </c>
      <c r="C6" s="19" t="s">
        <v>1727</v>
      </c>
      <c r="D6" s="19" t="s">
        <v>1307</v>
      </c>
      <c r="E6" s="21">
        <v>1.75</v>
      </c>
      <c r="F6" s="19">
        <v>960</v>
      </c>
      <c r="G6" s="21" t="s">
        <v>1723</v>
      </c>
      <c r="H6" s="22">
        <v>42156</v>
      </c>
      <c r="I6" s="19"/>
      <c r="J6" s="20"/>
    </row>
    <row r="7" ht="19.5" customHeight="1" spans="1:10">
      <c r="A7" s="21">
        <f t="shared" si="0"/>
        <v>6</v>
      </c>
      <c r="B7" s="21" t="s">
        <v>1721</v>
      </c>
      <c r="C7" s="19" t="s">
        <v>1728</v>
      </c>
      <c r="D7" s="19" t="s">
        <v>13</v>
      </c>
      <c r="E7" s="21">
        <v>1.75</v>
      </c>
      <c r="F7" s="19">
        <f>3*146</f>
        <v>438</v>
      </c>
      <c r="G7" s="21" t="s">
        <v>1723</v>
      </c>
      <c r="H7" s="22">
        <v>37956</v>
      </c>
      <c r="I7" s="19"/>
      <c r="J7" s="20"/>
    </row>
    <row r="8" ht="19.5" customHeight="1" spans="1:10">
      <c r="A8" s="21">
        <f t="shared" si="0"/>
        <v>7</v>
      </c>
      <c r="B8" s="21" t="s">
        <v>1721</v>
      </c>
      <c r="C8" s="19" t="s">
        <v>1729</v>
      </c>
      <c r="D8" s="19" t="s">
        <v>1307</v>
      </c>
      <c r="E8" s="21">
        <v>1.75</v>
      </c>
      <c r="F8" s="19">
        <f>367*3</f>
        <v>1101</v>
      </c>
      <c r="G8" s="21" t="s">
        <v>1723</v>
      </c>
      <c r="H8" s="22">
        <v>42156</v>
      </c>
      <c r="I8" s="19"/>
      <c r="J8" s="20"/>
    </row>
    <row r="9" ht="19.5" customHeight="1" spans="1:10">
      <c r="A9" s="21">
        <f t="shared" si="0"/>
        <v>8</v>
      </c>
      <c r="B9" s="21" t="s">
        <v>1721</v>
      </c>
      <c r="C9" s="19" t="s">
        <v>1730</v>
      </c>
      <c r="D9" s="19" t="s">
        <v>1307</v>
      </c>
      <c r="E9" s="21">
        <v>1.75</v>
      </c>
      <c r="F9" s="19">
        <v>390</v>
      </c>
      <c r="G9" s="21" t="s">
        <v>1723</v>
      </c>
      <c r="H9" s="22">
        <v>42156</v>
      </c>
      <c r="I9" s="19"/>
      <c r="J9" s="20"/>
    </row>
    <row r="10" ht="19.5" customHeight="1" spans="1:10">
      <c r="A10" s="21">
        <f t="shared" si="0"/>
        <v>9</v>
      </c>
      <c r="B10" s="21" t="s">
        <v>1721</v>
      </c>
      <c r="C10" s="19" t="s">
        <v>1731</v>
      </c>
      <c r="D10" s="19" t="s">
        <v>1307</v>
      </c>
      <c r="E10" s="21">
        <v>1.75</v>
      </c>
      <c r="F10" s="19">
        <f>357*3</f>
        <v>1071</v>
      </c>
      <c r="G10" s="21" t="s">
        <v>1723</v>
      </c>
      <c r="H10" s="22">
        <v>42156</v>
      </c>
      <c r="I10" s="19"/>
      <c r="J10" s="20"/>
    </row>
    <row r="11" ht="19.5" customHeight="1" spans="1:10">
      <c r="A11" s="21">
        <f t="shared" si="0"/>
        <v>10</v>
      </c>
      <c r="B11" s="21" t="s">
        <v>1721</v>
      </c>
      <c r="C11" s="19" t="s">
        <v>1732</v>
      </c>
      <c r="D11" s="19" t="s">
        <v>1307</v>
      </c>
      <c r="E11" s="21">
        <v>1.75</v>
      </c>
      <c r="F11" s="19">
        <f>34*3</f>
        <v>102</v>
      </c>
      <c r="G11" s="21" t="s">
        <v>1723</v>
      </c>
      <c r="H11" s="22">
        <v>42156</v>
      </c>
      <c r="I11" s="19"/>
      <c r="J11" s="20"/>
    </row>
    <row r="12" ht="19.5" customHeight="1" spans="1:10">
      <c r="A12" s="21">
        <f t="shared" si="0"/>
        <v>11</v>
      </c>
      <c r="B12" s="21" t="s">
        <v>1721</v>
      </c>
      <c r="C12" s="19" t="s">
        <v>1733</v>
      </c>
      <c r="D12" s="19" t="s">
        <v>1307</v>
      </c>
      <c r="E12" s="21">
        <v>1.75</v>
      </c>
      <c r="F12" s="19">
        <v>400</v>
      </c>
      <c r="G12" s="21" t="s">
        <v>1723</v>
      </c>
      <c r="H12" s="22">
        <v>39845</v>
      </c>
      <c r="I12" s="19"/>
      <c r="J12" s="20"/>
    </row>
    <row r="13" ht="19.5" customHeight="1" spans="1:10">
      <c r="A13" s="21">
        <f t="shared" si="0"/>
        <v>12</v>
      </c>
      <c r="B13" s="21" t="s">
        <v>1721</v>
      </c>
      <c r="C13" s="19" t="s">
        <v>1734</v>
      </c>
      <c r="D13" s="19" t="s">
        <v>13</v>
      </c>
      <c r="E13" s="21">
        <v>1.75</v>
      </c>
      <c r="F13" s="19">
        <f>76*3</f>
        <v>228</v>
      </c>
      <c r="G13" s="21" t="s">
        <v>1723</v>
      </c>
      <c r="H13" s="22">
        <v>37956</v>
      </c>
      <c r="I13" s="19"/>
      <c r="J13" s="20"/>
    </row>
    <row r="14" ht="19.5" customHeight="1" spans="1:10">
      <c r="A14" s="21">
        <f t="shared" si="0"/>
        <v>13</v>
      </c>
      <c r="B14" s="21" t="s">
        <v>1721</v>
      </c>
      <c r="C14" s="19" t="s">
        <v>1735</v>
      </c>
      <c r="D14" s="19" t="s">
        <v>1307</v>
      </c>
      <c r="E14" s="21">
        <v>1.75</v>
      </c>
      <c r="F14" s="19">
        <f>417*3</f>
        <v>1251</v>
      </c>
      <c r="G14" s="21" t="s">
        <v>1723</v>
      </c>
      <c r="H14" s="22">
        <v>42156</v>
      </c>
      <c r="I14" s="19"/>
      <c r="J14" s="20"/>
    </row>
    <row r="15" ht="19.5" customHeight="1" spans="1:10">
      <c r="A15" s="21">
        <f t="shared" si="0"/>
        <v>14</v>
      </c>
      <c r="B15" s="21" t="s">
        <v>1721</v>
      </c>
      <c r="C15" s="19" t="s">
        <v>1736</v>
      </c>
      <c r="D15" s="19" t="s">
        <v>1307</v>
      </c>
      <c r="E15" s="21">
        <v>1.75</v>
      </c>
      <c r="F15" s="19">
        <f>441*3</f>
        <v>1323</v>
      </c>
      <c r="G15" s="21" t="s">
        <v>1723</v>
      </c>
      <c r="H15" s="22">
        <v>42156</v>
      </c>
      <c r="I15" s="19"/>
      <c r="J15" s="20"/>
    </row>
    <row r="16" ht="19.5" customHeight="1" spans="1:10">
      <c r="A16" s="21">
        <f t="shared" si="0"/>
        <v>15</v>
      </c>
      <c r="B16" s="21" t="s">
        <v>1721</v>
      </c>
      <c r="C16" s="19" t="s">
        <v>1737</v>
      </c>
      <c r="D16" s="19" t="s">
        <v>13</v>
      </c>
      <c r="E16" s="21">
        <v>1.75</v>
      </c>
      <c r="F16" s="19">
        <v>60</v>
      </c>
      <c r="G16" s="21" t="s">
        <v>1723</v>
      </c>
      <c r="H16" s="22">
        <v>39203</v>
      </c>
      <c r="I16" s="19"/>
      <c r="J16" s="20"/>
    </row>
    <row r="17" ht="19.5" customHeight="1" spans="1:10">
      <c r="A17" s="21">
        <f t="shared" si="0"/>
        <v>16</v>
      </c>
      <c r="B17" s="21" t="s">
        <v>1721</v>
      </c>
      <c r="C17" s="19" t="s">
        <v>1738</v>
      </c>
      <c r="D17" s="19" t="s">
        <v>13</v>
      </c>
      <c r="E17" s="21">
        <v>1.75</v>
      </c>
      <c r="F17" s="19">
        <f>3*160</f>
        <v>480</v>
      </c>
      <c r="G17" s="21" t="s">
        <v>1723</v>
      </c>
      <c r="H17" s="22">
        <v>37956</v>
      </c>
      <c r="I17" s="19"/>
      <c r="J17" s="20"/>
    </row>
    <row r="18" ht="19.5" customHeight="1" spans="1:10">
      <c r="A18" s="21">
        <f t="shared" si="0"/>
        <v>17</v>
      </c>
      <c r="B18" s="21" t="s">
        <v>1721</v>
      </c>
      <c r="C18" s="19" t="s">
        <v>1739</v>
      </c>
      <c r="D18" s="19" t="s">
        <v>1307</v>
      </c>
      <c r="E18" s="21">
        <v>1.75</v>
      </c>
      <c r="F18" s="19">
        <v>654</v>
      </c>
      <c r="G18" s="21" t="s">
        <v>1723</v>
      </c>
      <c r="H18" s="22">
        <v>40179</v>
      </c>
      <c r="I18" s="19"/>
      <c r="J18" s="20"/>
    </row>
    <row r="19" ht="19.5" customHeight="1" spans="1:10">
      <c r="A19" s="21">
        <f t="shared" si="0"/>
        <v>18</v>
      </c>
      <c r="B19" s="21" t="s">
        <v>1721</v>
      </c>
      <c r="C19" s="19" t="s">
        <v>1740</v>
      </c>
      <c r="D19" s="19" t="s">
        <v>13</v>
      </c>
      <c r="E19" s="21">
        <v>1.75</v>
      </c>
      <c r="F19" s="19">
        <v>72</v>
      </c>
      <c r="G19" s="21" t="s">
        <v>1723</v>
      </c>
      <c r="H19" s="22">
        <v>37956</v>
      </c>
      <c r="I19" s="19"/>
      <c r="J19" s="20"/>
    </row>
    <row r="20" ht="19.5" customHeight="1" spans="1:10">
      <c r="A20" s="21">
        <f t="shared" si="0"/>
        <v>19</v>
      </c>
      <c r="B20" s="21" t="s">
        <v>1721</v>
      </c>
      <c r="C20" s="19" t="s">
        <v>1741</v>
      </c>
      <c r="D20" s="19" t="s">
        <v>322</v>
      </c>
      <c r="E20" s="21">
        <v>1.75</v>
      </c>
      <c r="F20" s="19">
        <v>336</v>
      </c>
      <c r="G20" s="21" t="s">
        <v>1723</v>
      </c>
      <c r="H20" s="22">
        <v>37956</v>
      </c>
      <c r="I20" s="19"/>
      <c r="J20" s="20"/>
    </row>
    <row r="21" ht="19.5" customHeight="1" spans="1:10">
      <c r="A21" s="21">
        <f t="shared" si="0"/>
        <v>20</v>
      </c>
      <c r="B21" s="21" t="s">
        <v>1721</v>
      </c>
      <c r="C21" s="19" t="s">
        <v>1742</v>
      </c>
      <c r="D21" s="19" t="s">
        <v>322</v>
      </c>
      <c r="E21" s="21">
        <v>1.75</v>
      </c>
      <c r="F21" s="19">
        <v>639</v>
      </c>
      <c r="G21" s="21" t="s">
        <v>1723</v>
      </c>
      <c r="H21" s="22">
        <v>37956</v>
      </c>
      <c r="I21" s="19"/>
      <c r="J21" s="20"/>
    </row>
    <row r="22" ht="19.5" customHeight="1" spans="1:10">
      <c r="A22" s="21">
        <f t="shared" si="0"/>
        <v>21</v>
      </c>
      <c r="B22" s="21" t="s">
        <v>1721</v>
      </c>
      <c r="C22" s="19" t="s">
        <v>1743</v>
      </c>
      <c r="D22" s="19" t="s">
        <v>322</v>
      </c>
      <c r="E22" s="21">
        <v>1.75</v>
      </c>
      <c r="F22" s="19">
        <v>225</v>
      </c>
      <c r="G22" s="21" t="s">
        <v>1723</v>
      </c>
      <c r="H22" s="22">
        <v>37956</v>
      </c>
      <c r="I22" s="19"/>
      <c r="J22" s="20"/>
    </row>
    <row r="23" ht="19.5" customHeight="1" spans="1:10">
      <c r="A23" s="21">
        <f t="shared" si="0"/>
        <v>22</v>
      </c>
      <c r="B23" s="21" t="s">
        <v>1721</v>
      </c>
      <c r="C23" s="19" t="s">
        <v>1744</v>
      </c>
      <c r="D23" s="19" t="s">
        <v>322</v>
      </c>
      <c r="E23" s="21">
        <v>1.75</v>
      </c>
      <c r="F23" s="19">
        <v>196</v>
      </c>
      <c r="G23" s="21" t="s">
        <v>1723</v>
      </c>
      <c r="H23" s="22">
        <v>37956</v>
      </c>
      <c r="I23" s="19"/>
      <c r="J23" s="20"/>
    </row>
    <row r="24" ht="19.5" customHeight="1" spans="1:10">
      <c r="A24" s="21">
        <f t="shared" si="0"/>
        <v>23</v>
      </c>
      <c r="B24" s="21" t="s">
        <v>1721</v>
      </c>
      <c r="C24" s="19" t="s">
        <v>1745</v>
      </c>
      <c r="D24" s="19" t="s">
        <v>322</v>
      </c>
      <c r="E24" s="21">
        <v>1.75</v>
      </c>
      <c r="F24" s="19">
        <v>267</v>
      </c>
      <c r="G24" s="21" t="s">
        <v>1723</v>
      </c>
      <c r="H24" s="22">
        <v>37956</v>
      </c>
      <c r="I24" s="19"/>
      <c r="J24" s="20"/>
    </row>
    <row r="25" ht="19.5" customHeight="1" spans="1:10">
      <c r="A25" s="21">
        <f t="shared" si="0"/>
        <v>24</v>
      </c>
      <c r="B25" s="21" t="s">
        <v>1721</v>
      </c>
      <c r="C25" s="19" t="s">
        <v>1746</v>
      </c>
      <c r="D25" s="19" t="s">
        <v>322</v>
      </c>
      <c r="E25" s="21">
        <v>1.75</v>
      </c>
      <c r="F25" s="19">
        <v>90</v>
      </c>
      <c r="G25" s="21" t="s">
        <v>1723</v>
      </c>
      <c r="H25" s="22">
        <v>40238</v>
      </c>
      <c r="I25" s="19"/>
      <c r="J25" s="20"/>
    </row>
    <row r="26" ht="19.5" customHeight="1" spans="1:10">
      <c r="A26" s="21">
        <f t="shared" si="0"/>
        <v>25</v>
      </c>
      <c r="B26" s="21" t="s">
        <v>1721</v>
      </c>
      <c r="C26" s="19" t="s">
        <v>1747</v>
      </c>
      <c r="D26" s="19" t="s">
        <v>322</v>
      </c>
      <c r="E26" s="21">
        <v>1.75</v>
      </c>
      <c r="F26" s="19">
        <v>76</v>
      </c>
      <c r="G26" s="21" t="s">
        <v>1723</v>
      </c>
      <c r="H26" s="22">
        <v>37956</v>
      </c>
      <c r="I26" s="19"/>
      <c r="J26" s="20"/>
    </row>
    <row r="27" ht="19.5" customHeight="1" spans="1:10">
      <c r="A27" s="21">
        <f t="shared" si="0"/>
        <v>26</v>
      </c>
      <c r="B27" s="21" t="s">
        <v>1721</v>
      </c>
      <c r="C27" s="19" t="s">
        <v>1748</v>
      </c>
      <c r="D27" s="19" t="s">
        <v>1749</v>
      </c>
      <c r="E27" s="21">
        <v>1.75</v>
      </c>
      <c r="F27" s="19">
        <f>130*3</f>
        <v>390</v>
      </c>
      <c r="G27" s="21" t="s">
        <v>1723</v>
      </c>
      <c r="H27" s="22">
        <v>37956</v>
      </c>
      <c r="I27" s="19"/>
      <c r="J27" s="20"/>
    </row>
    <row r="28" ht="19.5" customHeight="1" spans="1:10">
      <c r="A28" s="21">
        <f t="shared" si="0"/>
        <v>27</v>
      </c>
      <c r="B28" s="21" t="s">
        <v>1721</v>
      </c>
      <c r="C28" s="19" t="s">
        <v>1750</v>
      </c>
      <c r="D28" s="19" t="s">
        <v>1749</v>
      </c>
      <c r="E28" s="21">
        <v>1.75</v>
      </c>
      <c r="F28" s="19">
        <f>127*3</f>
        <v>381</v>
      </c>
      <c r="G28" s="21" t="s">
        <v>1723</v>
      </c>
      <c r="H28" s="22">
        <v>37956</v>
      </c>
      <c r="I28" s="19"/>
      <c r="J28" s="20"/>
    </row>
    <row r="29" ht="19.5" customHeight="1" spans="1:10">
      <c r="A29" s="21">
        <f t="shared" si="0"/>
        <v>28</v>
      </c>
      <c r="B29" s="21" t="s">
        <v>1721</v>
      </c>
      <c r="C29" s="19" t="s">
        <v>1751</v>
      </c>
      <c r="D29" s="19" t="s">
        <v>1749</v>
      </c>
      <c r="E29" s="21">
        <v>1.75</v>
      </c>
      <c r="F29" s="19">
        <f>104*3</f>
        <v>312</v>
      </c>
      <c r="G29" s="21" t="s">
        <v>1723</v>
      </c>
      <c r="H29" s="22">
        <v>37956</v>
      </c>
      <c r="I29" s="19"/>
      <c r="J29" s="20"/>
    </row>
    <row r="30" ht="19.5" customHeight="1" spans="1:10">
      <c r="A30" s="21">
        <f t="shared" si="0"/>
        <v>29</v>
      </c>
      <c r="B30" s="21" t="s">
        <v>1721</v>
      </c>
      <c r="C30" s="19" t="s">
        <v>1752</v>
      </c>
      <c r="D30" s="19" t="s">
        <v>1749</v>
      </c>
      <c r="E30" s="21">
        <v>1.75</v>
      </c>
      <c r="F30" s="19">
        <f>271*3</f>
        <v>813</v>
      </c>
      <c r="G30" s="21" t="s">
        <v>1723</v>
      </c>
      <c r="H30" s="22">
        <v>37956</v>
      </c>
      <c r="I30" s="19"/>
      <c r="J30" s="20"/>
    </row>
    <row r="31" ht="19.5" customHeight="1" spans="1:10">
      <c r="A31" s="21">
        <f t="shared" si="0"/>
        <v>30</v>
      </c>
      <c r="B31" s="21" t="s">
        <v>1721</v>
      </c>
      <c r="C31" s="19" t="s">
        <v>1753</v>
      </c>
      <c r="D31" s="19" t="s">
        <v>1749</v>
      </c>
      <c r="E31" s="21">
        <v>1.75</v>
      </c>
      <c r="F31" s="19">
        <f>73*3</f>
        <v>219</v>
      </c>
      <c r="G31" s="21" t="s">
        <v>1723</v>
      </c>
      <c r="H31" s="22">
        <v>37956</v>
      </c>
      <c r="I31" s="19"/>
      <c r="J31" s="20"/>
    </row>
    <row r="32" ht="19.5" customHeight="1" spans="1:10">
      <c r="A32" s="21">
        <f t="shared" si="0"/>
        <v>31</v>
      </c>
      <c r="B32" s="21" t="s">
        <v>1721</v>
      </c>
      <c r="C32" s="19" t="s">
        <v>1754</v>
      </c>
      <c r="D32" s="19" t="s">
        <v>1749</v>
      </c>
      <c r="E32" s="21">
        <v>1.75</v>
      </c>
      <c r="F32" s="19">
        <f>193*3</f>
        <v>579</v>
      </c>
      <c r="G32" s="21" t="s">
        <v>1723</v>
      </c>
      <c r="H32" s="22">
        <v>37956</v>
      </c>
      <c r="I32" s="19"/>
      <c r="J32" s="20"/>
    </row>
    <row r="33" ht="19.5" customHeight="1" spans="1:10">
      <c r="A33" s="21">
        <f t="shared" si="0"/>
        <v>32</v>
      </c>
      <c r="B33" s="21" t="s">
        <v>1721</v>
      </c>
      <c r="C33" s="19" t="s">
        <v>1755</v>
      </c>
      <c r="D33" s="19" t="s">
        <v>1749</v>
      </c>
      <c r="E33" s="21">
        <v>1.75</v>
      </c>
      <c r="F33" s="19">
        <f>268*3</f>
        <v>804</v>
      </c>
      <c r="G33" s="21" t="s">
        <v>1723</v>
      </c>
      <c r="H33" s="22">
        <v>37956</v>
      </c>
      <c r="I33" s="19"/>
      <c r="J33" s="20"/>
    </row>
    <row r="34" ht="19.5" customHeight="1" spans="1:10">
      <c r="A34" s="21">
        <f t="shared" si="0"/>
        <v>33</v>
      </c>
      <c r="B34" s="21" t="s">
        <v>1721</v>
      </c>
      <c r="C34" s="19" t="s">
        <v>1756</v>
      </c>
      <c r="D34" s="19" t="s">
        <v>1749</v>
      </c>
      <c r="E34" s="21">
        <v>1.75</v>
      </c>
      <c r="F34" s="19">
        <f>96*3</f>
        <v>288</v>
      </c>
      <c r="G34" s="21" t="s">
        <v>1723</v>
      </c>
      <c r="H34" s="22">
        <v>37956</v>
      </c>
      <c r="I34" s="19"/>
      <c r="J34" s="20"/>
    </row>
    <row r="35" ht="19.5" customHeight="1" spans="1:10">
      <c r="A35" s="21">
        <f t="shared" si="0"/>
        <v>34</v>
      </c>
      <c r="B35" s="21" t="s">
        <v>1721</v>
      </c>
      <c r="C35" s="19" t="s">
        <v>1757</v>
      </c>
      <c r="D35" s="19" t="s">
        <v>1749</v>
      </c>
      <c r="E35" s="21">
        <v>1.75</v>
      </c>
      <c r="F35" s="19">
        <f>134*3</f>
        <v>402</v>
      </c>
      <c r="G35" s="21" t="s">
        <v>1723</v>
      </c>
      <c r="H35" s="22">
        <v>37956</v>
      </c>
      <c r="I35" s="19"/>
      <c r="J35" s="20"/>
    </row>
    <row r="36" ht="19.5" customHeight="1" spans="1:10">
      <c r="A36" s="21">
        <f t="shared" ref="A36:A67" si="1">ROW(B36)-1</f>
        <v>35</v>
      </c>
      <c r="B36" s="21" t="s">
        <v>1721</v>
      </c>
      <c r="C36" s="23" t="s">
        <v>1758</v>
      </c>
      <c r="D36" s="19" t="s">
        <v>1749</v>
      </c>
      <c r="E36" s="21">
        <v>1.75</v>
      </c>
      <c r="F36" s="19">
        <f>312*3</f>
        <v>936</v>
      </c>
      <c r="G36" s="21" t="s">
        <v>1723</v>
      </c>
      <c r="H36" s="22">
        <v>37956</v>
      </c>
      <c r="I36" s="19"/>
      <c r="J36" s="20"/>
    </row>
    <row r="37" ht="19.5" customHeight="1" spans="1:10">
      <c r="A37" s="21">
        <f t="shared" si="1"/>
        <v>36</v>
      </c>
      <c r="B37" s="21" t="s">
        <v>1721</v>
      </c>
      <c r="C37" s="23" t="s">
        <v>1759</v>
      </c>
      <c r="D37" s="19" t="s">
        <v>1749</v>
      </c>
      <c r="E37" s="21">
        <v>1.75</v>
      </c>
      <c r="F37" s="19">
        <f>289*3</f>
        <v>867</v>
      </c>
      <c r="G37" s="21" t="s">
        <v>1723</v>
      </c>
      <c r="H37" s="22">
        <v>37956</v>
      </c>
      <c r="I37" s="19"/>
      <c r="J37" s="20"/>
    </row>
    <row r="38" ht="19.5" customHeight="1" spans="1:10">
      <c r="A38" s="21">
        <f t="shared" si="1"/>
        <v>37</v>
      </c>
      <c r="B38" s="21" t="s">
        <v>1721</v>
      </c>
      <c r="C38" s="23" t="s">
        <v>1760</v>
      </c>
      <c r="D38" s="19" t="s">
        <v>1749</v>
      </c>
      <c r="E38" s="21">
        <v>1.75</v>
      </c>
      <c r="F38" s="19">
        <v>150</v>
      </c>
      <c r="G38" s="21" t="s">
        <v>1723</v>
      </c>
      <c r="H38" s="22">
        <v>37956</v>
      </c>
      <c r="I38" s="19"/>
      <c r="J38" s="20"/>
    </row>
    <row r="39" ht="19.5" customHeight="1" spans="1:10">
      <c r="A39" s="21">
        <f t="shared" si="1"/>
        <v>38</v>
      </c>
      <c r="B39" s="21" t="s">
        <v>1721</v>
      </c>
      <c r="C39" s="23" t="s">
        <v>1761</v>
      </c>
      <c r="D39" s="19" t="s">
        <v>1749</v>
      </c>
      <c r="E39" s="21">
        <v>1.75</v>
      </c>
      <c r="F39" s="19">
        <f>154*4</f>
        <v>616</v>
      </c>
      <c r="G39" s="21" t="s">
        <v>1723</v>
      </c>
      <c r="H39" s="22">
        <v>37956</v>
      </c>
      <c r="I39" s="19"/>
      <c r="J39" s="20"/>
    </row>
    <row r="40" ht="19.5" customHeight="1" spans="1:10">
      <c r="A40" s="21">
        <f t="shared" si="1"/>
        <v>39</v>
      </c>
      <c r="B40" s="21" t="s">
        <v>1721</v>
      </c>
      <c r="C40" s="19" t="s">
        <v>1762</v>
      </c>
      <c r="D40" s="19" t="s">
        <v>1749</v>
      </c>
      <c r="E40" s="21">
        <v>1.75</v>
      </c>
      <c r="F40" s="19">
        <f>205*3</f>
        <v>615</v>
      </c>
      <c r="G40" s="21" t="s">
        <v>1723</v>
      </c>
      <c r="H40" s="22">
        <v>37956</v>
      </c>
      <c r="I40" s="19"/>
      <c r="J40" s="20"/>
    </row>
    <row r="41" ht="19.5" customHeight="1" spans="1:10">
      <c r="A41" s="21">
        <f t="shared" si="1"/>
        <v>40</v>
      </c>
      <c r="B41" s="21" t="s">
        <v>1721</v>
      </c>
      <c r="C41" s="19" t="s">
        <v>1763</v>
      </c>
      <c r="D41" s="19" t="s">
        <v>1749</v>
      </c>
      <c r="E41" s="21">
        <v>1.75</v>
      </c>
      <c r="F41" s="19">
        <f>178*3</f>
        <v>534</v>
      </c>
      <c r="G41" s="21" t="s">
        <v>1723</v>
      </c>
      <c r="H41" s="22">
        <v>37956</v>
      </c>
      <c r="I41" s="19"/>
      <c r="J41" s="20"/>
    </row>
    <row r="42" ht="19.5" customHeight="1" spans="1:10">
      <c r="A42" s="21">
        <f t="shared" si="1"/>
        <v>41</v>
      </c>
      <c r="B42" s="21" t="s">
        <v>1721</v>
      </c>
      <c r="C42" s="19" t="s">
        <v>1764</v>
      </c>
      <c r="D42" s="19" t="s">
        <v>1749</v>
      </c>
      <c r="E42" s="21">
        <v>1.75</v>
      </c>
      <c r="F42" s="19">
        <f>240*3</f>
        <v>720</v>
      </c>
      <c r="G42" s="21" t="s">
        <v>1723</v>
      </c>
      <c r="H42" s="22">
        <v>37956</v>
      </c>
      <c r="I42" s="19"/>
      <c r="J42" s="20"/>
    </row>
    <row r="43" ht="19.5" customHeight="1" spans="1:10">
      <c r="A43" s="21">
        <f t="shared" si="1"/>
        <v>42</v>
      </c>
      <c r="B43" s="21" t="s">
        <v>1721</v>
      </c>
      <c r="C43" s="19" t="s">
        <v>1765</v>
      </c>
      <c r="D43" s="19" t="s">
        <v>1749</v>
      </c>
      <c r="E43" s="21">
        <v>1.75</v>
      </c>
      <c r="F43" s="19">
        <f>243*3</f>
        <v>729</v>
      </c>
      <c r="G43" s="21" t="s">
        <v>1723</v>
      </c>
      <c r="H43" s="22">
        <v>37956</v>
      </c>
      <c r="I43" s="19"/>
      <c r="J43" s="20"/>
    </row>
    <row r="44" ht="19.5" customHeight="1" spans="1:10">
      <c r="A44" s="21">
        <f t="shared" si="1"/>
        <v>43</v>
      </c>
      <c r="B44" s="21" t="s">
        <v>1721</v>
      </c>
      <c r="C44" s="19" t="s">
        <v>1766</v>
      </c>
      <c r="D44" s="19" t="s">
        <v>1749</v>
      </c>
      <c r="E44" s="21">
        <v>1.75</v>
      </c>
      <c r="F44" s="19">
        <f>81*3</f>
        <v>243</v>
      </c>
      <c r="G44" s="21" t="s">
        <v>1723</v>
      </c>
      <c r="H44" s="22">
        <v>37956</v>
      </c>
      <c r="I44" s="19"/>
      <c r="J44" s="20"/>
    </row>
    <row r="45" ht="19.5" customHeight="1" spans="1:10">
      <c r="A45" s="21">
        <f t="shared" si="1"/>
        <v>44</v>
      </c>
      <c r="B45" s="21" t="s">
        <v>1721</v>
      </c>
      <c r="C45" s="19" t="s">
        <v>1767</v>
      </c>
      <c r="D45" s="19" t="s">
        <v>1749</v>
      </c>
      <c r="E45" s="21">
        <v>1.75</v>
      </c>
      <c r="F45" s="19">
        <f>156*3</f>
        <v>468</v>
      </c>
      <c r="G45" s="21" t="s">
        <v>1723</v>
      </c>
      <c r="H45" s="22">
        <v>37956</v>
      </c>
      <c r="I45" s="19"/>
      <c r="J45" s="20"/>
    </row>
    <row r="46" ht="19.5" customHeight="1" spans="1:10">
      <c r="A46" s="21">
        <f t="shared" si="1"/>
        <v>45</v>
      </c>
      <c r="B46" s="21" t="s">
        <v>1721</v>
      </c>
      <c r="C46" s="19" t="s">
        <v>1768</v>
      </c>
      <c r="D46" s="19" t="s">
        <v>1749</v>
      </c>
      <c r="E46" s="21">
        <v>1.75</v>
      </c>
      <c r="F46" s="19">
        <f>383*3</f>
        <v>1149</v>
      </c>
      <c r="G46" s="21" t="s">
        <v>1723</v>
      </c>
      <c r="H46" s="22">
        <v>37956</v>
      </c>
      <c r="I46" s="19"/>
      <c r="J46" s="20"/>
    </row>
    <row r="47" ht="19.5" customHeight="1" spans="1:10">
      <c r="A47" s="21">
        <f t="shared" si="1"/>
        <v>46</v>
      </c>
      <c r="B47" s="21" t="s">
        <v>1721</v>
      </c>
      <c r="C47" s="19" t="s">
        <v>1769</v>
      </c>
      <c r="D47" s="19" t="s">
        <v>1749</v>
      </c>
      <c r="E47" s="21">
        <v>1.75</v>
      </c>
      <c r="F47" s="19">
        <f>52*3</f>
        <v>156</v>
      </c>
      <c r="G47" s="21" t="s">
        <v>1723</v>
      </c>
      <c r="H47" s="22">
        <v>37956</v>
      </c>
      <c r="I47" s="19"/>
      <c r="J47" s="20"/>
    </row>
    <row r="48" ht="19.5" customHeight="1" spans="1:10">
      <c r="A48" s="21">
        <f t="shared" si="1"/>
        <v>47</v>
      </c>
      <c r="B48" s="21" t="s">
        <v>1721</v>
      </c>
      <c r="C48" s="19" t="s">
        <v>1770</v>
      </c>
      <c r="D48" s="19" t="s">
        <v>1749</v>
      </c>
      <c r="E48" s="21">
        <v>1.75</v>
      </c>
      <c r="F48" s="19">
        <f>310*3</f>
        <v>930</v>
      </c>
      <c r="G48" s="21" t="s">
        <v>1723</v>
      </c>
      <c r="H48" s="22">
        <v>37956</v>
      </c>
      <c r="I48" s="19"/>
      <c r="J48" s="20"/>
    </row>
    <row r="49" ht="19.5" customHeight="1" spans="1:11">
      <c r="A49" s="21">
        <f t="shared" si="1"/>
        <v>48</v>
      </c>
      <c r="B49" s="21" t="s">
        <v>1721</v>
      </c>
      <c r="C49" s="19" t="s">
        <v>1771</v>
      </c>
      <c r="D49" s="19" t="s">
        <v>1749</v>
      </c>
      <c r="E49" s="21">
        <v>1.75</v>
      </c>
      <c r="F49" s="19">
        <f>352*3</f>
        <v>1056</v>
      </c>
      <c r="G49" s="21" t="s">
        <v>1723</v>
      </c>
      <c r="H49" s="22">
        <v>37956</v>
      </c>
      <c r="I49" s="19"/>
      <c r="J49" s="20"/>
    </row>
    <row r="50" ht="19.5" customHeight="1" spans="1:11">
      <c r="A50" s="21">
        <f t="shared" si="1"/>
        <v>49</v>
      </c>
      <c r="B50" s="21" t="s">
        <v>1721</v>
      </c>
      <c r="C50" s="19" t="s">
        <v>1772</v>
      </c>
      <c r="D50" s="19" t="s">
        <v>1749</v>
      </c>
      <c r="E50" s="21">
        <v>1.75</v>
      </c>
      <c r="F50" s="19">
        <v>1161</v>
      </c>
      <c r="G50" s="21" t="s">
        <v>1723</v>
      </c>
      <c r="H50" s="22">
        <v>37956</v>
      </c>
      <c r="I50" s="19"/>
      <c r="J50" s="20"/>
    </row>
    <row r="51" ht="19.5" customHeight="1" spans="1:11">
      <c r="A51" s="21">
        <f t="shared" si="1"/>
        <v>50</v>
      </c>
      <c r="B51" s="21" t="s">
        <v>1721</v>
      </c>
      <c r="C51" s="19" t="s">
        <v>1773</v>
      </c>
      <c r="D51" s="19" t="s">
        <v>1749</v>
      </c>
      <c r="E51" s="21">
        <v>1.75</v>
      </c>
      <c r="F51" s="19">
        <v>1383</v>
      </c>
      <c r="G51" s="21" t="s">
        <v>1723</v>
      </c>
      <c r="H51" s="22">
        <v>37956</v>
      </c>
      <c r="I51" s="19"/>
      <c r="J51" s="20"/>
    </row>
    <row r="52" ht="19.5" customHeight="1" spans="1:11">
      <c r="A52" s="21">
        <f t="shared" si="1"/>
        <v>51</v>
      </c>
      <c r="B52" s="21" t="s">
        <v>1721</v>
      </c>
      <c r="C52" s="24" t="s">
        <v>1774</v>
      </c>
      <c r="D52" s="19" t="s">
        <v>1775</v>
      </c>
      <c r="E52" s="21">
        <v>1.75</v>
      </c>
      <c r="F52" s="21">
        <f>95*3</f>
        <v>285</v>
      </c>
      <c r="G52" s="21" t="s">
        <v>1723</v>
      </c>
      <c r="H52" s="22">
        <v>44805</v>
      </c>
      <c r="I52" s="19"/>
      <c r="J52" s="20"/>
    </row>
    <row r="53" ht="19.5" customHeight="1" spans="1:11">
      <c r="A53" s="21">
        <f t="shared" si="1"/>
        <v>52</v>
      </c>
      <c r="B53" s="21" t="s">
        <v>1721</v>
      </c>
      <c r="C53" s="21" t="s">
        <v>1776</v>
      </c>
      <c r="D53" s="19" t="s">
        <v>55</v>
      </c>
      <c r="E53" s="21">
        <v>1.75</v>
      </c>
      <c r="F53" s="21">
        <v>129</v>
      </c>
      <c r="G53" s="21" t="s">
        <v>1723</v>
      </c>
      <c r="H53" s="22">
        <v>44727</v>
      </c>
      <c r="I53" s="19"/>
      <c r="J53" s="20"/>
    </row>
    <row r="54" ht="19.5" customHeight="1" spans="1:11">
      <c r="A54" s="21">
        <f t="shared" si="1"/>
        <v>53</v>
      </c>
      <c r="B54" s="25"/>
      <c r="C54" s="26"/>
      <c r="D54" s="21"/>
      <c r="E54" s="21"/>
      <c r="F54" s="21">
        <f>SUM(F2:F53)</f>
        <v>27732</v>
      </c>
      <c r="G54" s="21"/>
      <c r="H54" s="21"/>
      <c r="I54" s="19"/>
      <c r="J54" s="20"/>
    </row>
    <row r="55" ht="40.5" customHeight="1" spans="1:11">
      <c r="A55" s="21">
        <f t="shared" si="1"/>
        <v>54</v>
      </c>
      <c r="B55" s="19" t="s">
        <v>1777</v>
      </c>
      <c r="C55" s="19" t="s">
        <v>1</v>
      </c>
      <c r="D55" s="21"/>
      <c r="E55" s="21"/>
      <c r="F55" s="21"/>
      <c r="G55" s="21"/>
      <c r="H55" s="21"/>
      <c r="I55" s="19"/>
      <c r="J55" s="20"/>
    </row>
    <row r="56" ht="40.5" customHeight="1" spans="1:11">
      <c r="A56" s="21">
        <f t="shared" si="1"/>
        <v>55</v>
      </c>
      <c r="B56" s="19" t="s">
        <v>1777</v>
      </c>
      <c r="C56" s="19" t="s">
        <v>1778</v>
      </c>
      <c r="D56" s="19" t="s">
        <v>1779</v>
      </c>
      <c r="E56" s="19">
        <v>1.6</v>
      </c>
      <c r="F56" s="19">
        <v>66</v>
      </c>
      <c r="G56" s="19" t="s">
        <v>1780</v>
      </c>
      <c r="H56" s="22">
        <v>44275</v>
      </c>
      <c r="I56" s="19"/>
      <c r="J56" s="27"/>
    </row>
    <row r="57" ht="40.5" customHeight="1" spans="1:11">
      <c r="A57" s="21">
        <f t="shared" si="1"/>
        <v>56</v>
      </c>
      <c r="B57" s="19" t="s">
        <v>1777</v>
      </c>
      <c r="C57" s="19" t="s">
        <v>1781</v>
      </c>
      <c r="D57" s="19" t="s">
        <v>1779</v>
      </c>
      <c r="E57" s="19">
        <v>1.75</v>
      </c>
      <c r="F57" s="19">
        <v>52</v>
      </c>
      <c r="G57" s="19" t="s">
        <v>1782</v>
      </c>
      <c r="H57" s="22">
        <v>37956</v>
      </c>
      <c r="I57" s="19"/>
      <c r="J57" s="20"/>
      <c r="K57" s="28"/>
    </row>
    <row r="58" ht="40.5" customHeight="1" spans="1:11">
      <c r="A58" s="21">
        <f t="shared" si="1"/>
        <v>57</v>
      </c>
      <c r="B58" s="19" t="s">
        <v>1777</v>
      </c>
      <c r="C58" s="29" t="s">
        <v>1783</v>
      </c>
      <c r="D58" s="19" t="s">
        <v>1779</v>
      </c>
      <c r="E58" s="19">
        <v>1.6</v>
      </c>
      <c r="F58" s="19">
        <v>58</v>
      </c>
      <c r="G58" s="19" t="s">
        <v>1780</v>
      </c>
      <c r="H58" s="22">
        <v>37956</v>
      </c>
      <c r="I58" s="30"/>
      <c r="J58" s="20"/>
      <c r="K58" s="28"/>
    </row>
    <row r="59" ht="40.5" customHeight="1" spans="1:11">
      <c r="A59" s="21">
        <f t="shared" si="1"/>
        <v>58</v>
      </c>
      <c r="B59" s="19" t="s">
        <v>1777</v>
      </c>
      <c r="C59" s="29" t="s">
        <v>1784</v>
      </c>
      <c r="D59" s="19" t="s">
        <v>1779</v>
      </c>
      <c r="E59" s="19" t="s">
        <v>1780</v>
      </c>
      <c r="F59" s="19">
        <v>42</v>
      </c>
      <c r="G59" s="19" t="s">
        <v>1780</v>
      </c>
      <c r="H59" s="22">
        <v>37956</v>
      </c>
      <c r="I59" s="30"/>
      <c r="J59" s="20"/>
      <c r="K59" s="28"/>
    </row>
    <row r="60" s="17" customFormat="1" ht="40.5" customHeight="1" spans="1:11">
      <c r="A60" s="21">
        <f t="shared" si="1"/>
        <v>59</v>
      </c>
      <c r="B60" s="19" t="s">
        <v>1785</v>
      </c>
      <c r="C60" s="29" t="s">
        <v>1786</v>
      </c>
      <c r="D60" s="19" t="s">
        <v>1779</v>
      </c>
      <c r="E60" s="19">
        <v>1.75</v>
      </c>
      <c r="F60" s="19">
        <v>144</v>
      </c>
      <c r="G60" s="19" t="s">
        <v>1787</v>
      </c>
      <c r="H60" s="22">
        <v>37956</v>
      </c>
      <c r="I60" s="30"/>
      <c r="J60" s="20"/>
      <c r="K60" s="31"/>
    </row>
    <row r="61" s="17" customFormat="1" ht="40.5" customHeight="1" spans="1:11">
      <c r="A61" s="21">
        <f t="shared" si="1"/>
        <v>60</v>
      </c>
      <c r="B61" s="19" t="s">
        <v>1777</v>
      </c>
      <c r="C61" s="29" t="s">
        <v>1788</v>
      </c>
      <c r="D61" s="19" t="s">
        <v>1779</v>
      </c>
      <c r="E61" s="19">
        <v>1.7</v>
      </c>
      <c r="F61" s="19">
        <v>240</v>
      </c>
      <c r="G61" s="19" t="s">
        <v>1789</v>
      </c>
      <c r="H61" s="22">
        <v>44053</v>
      </c>
      <c r="I61" s="29"/>
      <c r="J61" s="20"/>
      <c r="K61" s="31"/>
    </row>
    <row r="62" s="17" customFormat="1" ht="40.5" customHeight="1" spans="1:11">
      <c r="A62" s="21">
        <f t="shared" si="1"/>
        <v>61</v>
      </c>
      <c r="B62" s="19" t="s">
        <v>1777</v>
      </c>
      <c r="C62" s="29" t="s">
        <v>1790</v>
      </c>
      <c r="D62" s="19" t="s">
        <v>1779</v>
      </c>
      <c r="E62" s="19">
        <v>1.6</v>
      </c>
      <c r="F62" s="19">
        <v>32</v>
      </c>
      <c r="G62" s="19" t="s">
        <v>1780</v>
      </c>
      <c r="H62" s="22">
        <v>37956</v>
      </c>
      <c r="I62" s="29"/>
      <c r="J62" s="20"/>
      <c r="K62" s="31"/>
    </row>
    <row r="63" s="17" customFormat="1" ht="40.5" customHeight="1" spans="1:11">
      <c r="A63" s="21">
        <f t="shared" si="1"/>
        <v>62</v>
      </c>
      <c r="B63" s="19" t="s">
        <v>1777</v>
      </c>
      <c r="C63" s="32" t="s">
        <v>1791</v>
      </c>
      <c r="D63" s="19" t="s">
        <v>1779</v>
      </c>
      <c r="E63" s="19">
        <v>1.6</v>
      </c>
      <c r="F63" s="19">
        <f>35*2*2</f>
        <v>140</v>
      </c>
      <c r="G63" s="19" t="s">
        <v>1792</v>
      </c>
      <c r="H63" s="22">
        <v>44323</v>
      </c>
      <c r="I63" s="19"/>
      <c r="J63" s="20"/>
    </row>
    <row r="64" s="17" customFormat="1" ht="40.5" customHeight="1" spans="1:11">
      <c r="A64" s="21">
        <f t="shared" si="1"/>
        <v>63</v>
      </c>
      <c r="B64" s="19" t="s">
        <v>1777</v>
      </c>
      <c r="C64" s="33" t="s">
        <v>1793</v>
      </c>
      <c r="D64" s="19" t="s">
        <v>1779</v>
      </c>
      <c r="E64" s="19">
        <v>1.6</v>
      </c>
      <c r="F64" s="19">
        <f>38*2*2</f>
        <v>152</v>
      </c>
      <c r="G64" s="19" t="s">
        <v>1792</v>
      </c>
      <c r="H64" s="22">
        <v>44324</v>
      </c>
      <c r="I64" s="19"/>
      <c r="J64" s="20"/>
    </row>
    <row r="65" s="17" customFormat="1" ht="40.5" customHeight="1" spans="1:10">
      <c r="A65" s="21">
        <f t="shared" si="1"/>
        <v>64</v>
      </c>
      <c r="B65" s="19" t="s">
        <v>1777</v>
      </c>
      <c r="C65" s="33" t="s">
        <v>1794</v>
      </c>
      <c r="D65" s="19" t="s">
        <v>1779</v>
      </c>
      <c r="E65" s="19">
        <v>1.6</v>
      </c>
      <c r="F65" s="19">
        <f>30*2*2</f>
        <v>120</v>
      </c>
      <c r="G65" s="19" t="s">
        <v>1792</v>
      </c>
      <c r="H65" s="22">
        <v>44324</v>
      </c>
      <c r="I65" s="19"/>
      <c r="J65" s="20"/>
    </row>
    <row r="66" s="17" customFormat="1" ht="40.5" customHeight="1" spans="1:10">
      <c r="A66" s="21">
        <f t="shared" si="1"/>
        <v>65</v>
      </c>
      <c r="B66" s="19" t="s">
        <v>1777</v>
      </c>
      <c r="C66" s="33" t="s">
        <v>1795</v>
      </c>
      <c r="D66" s="19" t="s">
        <v>1779</v>
      </c>
      <c r="E66" s="19">
        <v>1.6</v>
      </c>
      <c r="F66" s="19">
        <f>46*2*2</f>
        <v>184</v>
      </c>
      <c r="G66" s="19" t="s">
        <v>1792</v>
      </c>
      <c r="H66" s="22">
        <v>44324</v>
      </c>
      <c r="I66" s="19"/>
      <c r="J66" s="20"/>
    </row>
    <row r="67" s="17" customFormat="1" ht="40.5" customHeight="1" spans="1:10">
      <c r="A67" s="21">
        <f t="shared" si="1"/>
        <v>66</v>
      </c>
      <c r="B67" s="19" t="s">
        <v>1777</v>
      </c>
      <c r="C67" s="32" t="s">
        <v>1796</v>
      </c>
      <c r="D67" s="19" t="s">
        <v>1779</v>
      </c>
      <c r="E67" s="19">
        <v>1.6</v>
      </c>
      <c r="F67" s="19">
        <f>58*2*2</f>
        <v>232</v>
      </c>
      <c r="G67" s="19" t="s">
        <v>1792</v>
      </c>
      <c r="H67" s="22">
        <v>44324</v>
      </c>
      <c r="I67" s="19"/>
      <c r="J67" s="20"/>
    </row>
    <row r="68" s="17" customFormat="1" ht="40.5" customHeight="1" spans="1:10">
      <c r="A68" s="21">
        <f>ROW(B68)-1</f>
        <v>67</v>
      </c>
      <c r="B68" s="19" t="s">
        <v>1777</v>
      </c>
      <c r="C68" s="32" t="s">
        <v>66</v>
      </c>
      <c r="D68" s="19" t="s">
        <v>1779</v>
      </c>
      <c r="E68" s="19">
        <v>1.6</v>
      </c>
      <c r="F68" s="19">
        <f>46*2*2</f>
        <v>184</v>
      </c>
      <c r="G68" s="19" t="s">
        <v>1792</v>
      </c>
      <c r="H68" s="22">
        <v>44324</v>
      </c>
      <c r="I68" s="19"/>
      <c r="J68" s="20"/>
    </row>
    <row r="69" ht="32.25" customHeight="1" spans="1:10">
      <c r="A69" s="21">
        <f>ROW(B69)-1</f>
        <v>68</v>
      </c>
      <c r="B69" s="25"/>
      <c r="C69" s="25"/>
      <c r="D69" s="25"/>
      <c r="E69" s="26"/>
      <c r="F69" s="21">
        <f>SUM(F56:F68)</f>
        <v>1646</v>
      </c>
      <c r="G69" s="21"/>
      <c r="H69" s="21"/>
      <c r="I69" s="19"/>
      <c r="J69" s="20"/>
    </row>
    <row r="70" ht="25.5" customHeight="1" spans="1:10">
      <c r="A70" s="21">
        <f>ROW(B70)-1</f>
        <v>69</v>
      </c>
      <c r="B70" s="34"/>
      <c r="C70" s="34"/>
      <c r="D70" s="34"/>
      <c r="E70" s="34"/>
      <c r="F70" s="34"/>
      <c r="G70" s="34"/>
      <c r="H70" s="34"/>
      <c r="I70" s="34"/>
      <c r="J70" s="20"/>
    </row>
    <row r="71" ht="33" customHeight="1" spans="1:10">
      <c r="A71" s="21">
        <f>ROW(B71)-1</f>
        <v>70</v>
      </c>
      <c r="B71" s="35"/>
      <c r="C71" s="35"/>
      <c r="D71" s="35"/>
      <c r="E71" s="35"/>
      <c r="F71" s="35"/>
      <c r="G71" s="35"/>
      <c r="H71" s="35"/>
      <c r="I71" s="35"/>
      <c r="J71" s="20"/>
    </row>
  </sheetData>
  <pageMargins left="0.67" right="0.708661417322835" top="0.44" bottom="0.748031496062992" header="0.31496062992126" footer="0.31496062992126"/>
  <pageSetup paperSize="9" orientation="landscape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$1:A$1048576"/>
    </sheetView>
  </sheetViews>
  <sheetFormatPr defaultColWidth="9" defaultRowHeight="14" outlineLevelCol="7"/>
  <cols>
    <col min="1" max="1" width="4.27272727272727" customWidth="1"/>
    <col min="2" max="2" width="17.5" customWidth="1"/>
    <col min="3" max="7" width="13.5" customWidth="1"/>
    <col min="8" max="8" width="44" customWidth="1"/>
  </cols>
  <sheetData>
    <row r="1" ht="36" customHeight="1" spans="1:8">
      <c r="A1" s="1" t="s">
        <v>0</v>
      </c>
      <c r="B1" s="2" t="s">
        <v>741</v>
      </c>
      <c r="C1" s="2" t="s">
        <v>1295</v>
      </c>
      <c r="D1" s="2" t="s">
        <v>1797</v>
      </c>
      <c r="E1" s="2" t="s">
        <v>1798</v>
      </c>
      <c r="F1" s="2" t="s">
        <v>1799</v>
      </c>
      <c r="G1" s="2" t="s">
        <v>9</v>
      </c>
      <c r="H1" s="2" t="s">
        <v>11</v>
      </c>
    </row>
    <row r="2" ht="27" customHeight="1" spans="1:8">
      <c r="A2" s="2">
        <v>1</v>
      </c>
      <c r="B2" s="3" t="s">
        <v>1800</v>
      </c>
      <c r="C2" s="3" t="s">
        <v>1307</v>
      </c>
      <c r="D2" s="2" t="s">
        <v>1801</v>
      </c>
      <c r="E2" s="2">
        <v>1.1</v>
      </c>
      <c r="F2" s="2">
        <v>1664</v>
      </c>
      <c r="G2" s="4">
        <v>44671</v>
      </c>
      <c r="H2" s="2"/>
    </row>
    <row r="3" ht="27" customHeight="1" spans="1:8">
      <c r="A3" s="2">
        <v>2</v>
      </c>
      <c r="B3" s="2" t="s">
        <v>1802</v>
      </c>
      <c r="C3" s="3" t="s">
        <v>1714</v>
      </c>
      <c r="D3" s="2" t="s">
        <v>1801</v>
      </c>
      <c r="E3" s="2">
        <v>1.1</v>
      </c>
      <c r="F3" s="2">
        <v>728</v>
      </c>
      <c r="G3" s="4">
        <v>44377</v>
      </c>
      <c r="H3" s="2"/>
    </row>
    <row r="4" ht="27" customHeight="1" spans="1:8">
      <c r="A4" s="2">
        <v>3</v>
      </c>
      <c r="B4" s="2" t="s">
        <v>1803</v>
      </c>
      <c r="C4" s="3" t="s">
        <v>1714</v>
      </c>
      <c r="D4" s="2" t="s">
        <v>1801</v>
      </c>
      <c r="E4" s="2">
        <v>1.1</v>
      </c>
      <c r="F4" s="2">
        <v>435</v>
      </c>
      <c r="G4" s="4">
        <v>37963</v>
      </c>
      <c r="H4" s="2"/>
    </row>
    <row r="5" ht="27" customHeight="1" spans="1:8">
      <c r="A5" s="12">
        <v>4</v>
      </c>
      <c r="B5" s="2" t="s">
        <v>1700</v>
      </c>
      <c r="C5" s="3" t="s">
        <v>1307</v>
      </c>
      <c r="D5" s="2" t="s">
        <v>1801</v>
      </c>
      <c r="E5" s="2">
        <v>1.1</v>
      </c>
      <c r="F5" s="2">
        <v>5067</v>
      </c>
      <c r="G5" s="4">
        <v>44762</v>
      </c>
      <c r="H5" s="2"/>
    </row>
    <row r="6" ht="27" customHeight="1" spans="1:8">
      <c r="A6" s="2">
        <v>5</v>
      </c>
      <c r="B6" s="2" t="s">
        <v>1804</v>
      </c>
      <c r="C6" s="3" t="s">
        <v>1714</v>
      </c>
      <c r="D6" s="2" t="s">
        <v>1801</v>
      </c>
      <c r="E6" s="2">
        <v>1.1</v>
      </c>
      <c r="F6" s="2">
        <v>268</v>
      </c>
      <c r="G6" s="4">
        <v>44401</v>
      </c>
      <c r="H6" s="2"/>
    </row>
    <row r="7" ht="27" customHeight="1" spans="1:8">
      <c r="A7" s="2">
        <v>6</v>
      </c>
      <c r="B7" s="2" t="s">
        <v>1805</v>
      </c>
      <c r="C7" s="3" t="s">
        <v>1714</v>
      </c>
      <c r="D7" s="2" t="s">
        <v>1801</v>
      </c>
      <c r="E7" s="2">
        <v>1.1</v>
      </c>
      <c r="F7" s="2">
        <v>364</v>
      </c>
      <c r="G7" s="4">
        <v>44742</v>
      </c>
      <c r="H7" s="2"/>
    </row>
    <row r="8" ht="27" customHeight="1" spans="1:8">
      <c r="A8" s="6" t="s">
        <v>1806</v>
      </c>
      <c r="B8" s="7"/>
      <c r="C8" s="7"/>
      <c r="D8" s="8"/>
      <c r="E8" s="8"/>
      <c r="F8" s="2">
        <f>SUM(F2:F7)</f>
        <v>8526</v>
      </c>
      <c r="G8" s="2"/>
      <c r="H8" s="2"/>
    </row>
    <row r="9" ht="27" customHeight="1" spans="1:8">
      <c r="A9" s="9" t="s">
        <v>1807</v>
      </c>
      <c r="B9" s="9"/>
      <c r="C9" s="9"/>
      <c r="D9" s="9"/>
      <c r="E9" s="9"/>
      <c r="F9" s="9"/>
      <c r="G9" s="9"/>
      <c r="H9" s="9"/>
    </row>
    <row r="10" ht="33" customHeight="1" spans="1:8">
      <c r="A10" s="10" t="s">
        <v>1808</v>
      </c>
      <c r="B10" s="10"/>
      <c r="C10" s="10"/>
      <c r="D10" s="10"/>
      <c r="E10" s="10"/>
      <c r="F10" s="10"/>
      <c r="G10" s="10"/>
      <c r="H10" s="10"/>
    </row>
  </sheetData>
  <mergeCells count="3">
    <mergeCell ref="A8:D8"/>
    <mergeCell ref="A9:H9"/>
    <mergeCell ref="A10:H10"/>
  </mergeCells>
  <pageMargins left="0.708661417322835" right="0.708661417322835" top="0.47" bottom="0.748031496062992" header="0.31496062992126" footer="0.31496062992126"/>
  <pageSetup paperSize="9" orientation="landscape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3" sqref="A3"/>
    </sheetView>
  </sheetViews>
  <sheetFormatPr defaultColWidth="9" defaultRowHeight="14"/>
  <cols>
    <col min="1" max="1" width="5.90909090909091" customWidth="1"/>
    <col min="2" max="2" width="20.2545454545455" customWidth="1"/>
    <col min="3" max="3" width="17.8727272727273" customWidth="1"/>
    <col min="4" max="7" width="12.8727272727273" customWidth="1"/>
    <col min="8" max="8" width="17.6272727272727" customWidth="1"/>
    <col min="9" max="9" width="21.7545454545455" customWidth="1"/>
  </cols>
  <sheetData>
    <row r="1" spans="1:9">
      <c r="A1" s="2" t="s">
        <v>0</v>
      </c>
      <c r="B1" s="2" t="s">
        <v>1809</v>
      </c>
      <c r="C1" s="2" t="s">
        <v>1295</v>
      </c>
      <c r="D1" s="2" t="s">
        <v>1810</v>
      </c>
      <c r="E1" s="2" t="s">
        <v>1811</v>
      </c>
      <c r="F1" s="2" t="s">
        <v>1812</v>
      </c>
      <c r="G1" s="2" t="s">
        <v>1813</v>
      </c>
      <c r="H1" s="2" t="s">
        <v>9</v>
      </c>
      <c r="I1" s="2" t="s">
        <v>11</v>
      </c>
    </row>
    <row r="2" ht="31.5" customHeight="1" spans="1:9">
      <c r="A2" s="2"/>
      <c r="B2" s="2"/>
      <c r="C2" s="2"/>
      <c r="D2" s="2"/>
      <c r="E2" s="2"/>
      <c r="F2" s="2"/>
      <c r="G2" s="2"/>
      <c r="H2" s="2"/>
      <c r="I2" s="2"/>
    </row>
    <row r="3" ht="20.25" customHeight="1" spans="1:9">
      <c r="A3" s="2">
        <v>1</v>
      </c>
      <c r="B3" s="3" t="s">
        <v>1814</v>
      </c>
      <c r="C3" s="2" t="s">
        <v>322</v>
      </c>
      <c r="D3" s="2" t="s">
        <v>1815</v>
      </c>
      <c r="E3" s="2">
        <v>2</v>
      </c>
      <c r="F3" s="11">
        <f>75497*2*0.15</f>
        <v>22649.1</v>
      </c>
      <c r="G3" s="11">
        <f>75497*2/8</f>
        <v>18874.25</v>
      </c>
      <c r="H3" s="2"/>
      <c r="I3" s="2" t="s">
        <v>1659</v>
      </c>
    </row>
    <row r="4" ht="20.25" customHeight="1" spans="1:9">
      <c r="A4" s="2">
        <v>2</v>
      </c>
      <c r="B4" s="3" t="s">
        <v>1814</v>
      </c>
      <c r="C4" s="2" t="s">
        <v>13</v>
      </c>
      <c r="D4" s="2" t="s">
        <v>1815</v>
      </c>
      <c r="E4" s="2">
        <v>2</v>
      </c>
      <c r="F4" s="11">
        <f>75497*2*0.15</f>
        <v>22649.1</v>
      </c>
      <c r="G4" s="11">
        <f>75497*2/8</f>
        <v>18874.25</v>
      </c>
      <c r="H4" s="2"/>
      <c r="I4" s="2" t="s">
        <v>1659</v>
      </c>
    </row>
    <row r="5" ht="20.25" customHeight="1" spans="1:9">
      <c r="A5" s="2">
        <v>3</v>
      </c>
      <c r="B5" s="2" t="s">
        <v>1816</v>
      </c>
      <c r="C5" s="2" t="s">
        <v>322</v>
      </c>
      <c r="D5" s="2" t="s">
        <v>1815</v>
      </c>
      <c r="E5" s="2">
        <v>2</v>
      </c>
      <c r="F5" s="11">
        <f>2040*2*0.15</f>
        <v>612</v>
      </c>
      <c r="G5" s="11">
        <f>2040*2/8</f>
        <v>510</v>
      </c>
      <c r="H5" s="2"/>
      <c r="I5" s="2" t="s">
        <v>1817</v>
      </c>
    </row>
    <row r="6" ht="20.25" customHeight="1" spans="1:9">
      <c r="A6" s="2">
        <v>4</v>
      </c>
      <c r="B6" s="2" t="s">
        <v>1816</v>
      </c>
      <c r="C6" s="2" t="s">
        <v>13</v>
      </c>
      <c r="D6" s="2" t="s">
        <v>1815</v>
      </c>
      <c r="E6" s="2">
        <v>2</v>
      </c>
      <c r="F6" s="11">
        <f>2040*2*0.15</f>
        <v>612</v>
      </c>
      <c r="G6" s="11">
        <f>2040*2/8</f>
        <v>510</v>
      </c>
      <c r="H6" s="2"/>
      <c r="I6" s="2" t="s">
        <v>1817</v>
      </c>
    </row>
    <row r="7" ht="20.25" customHeight="1" spans="1:9">
      <c r="A7" s="2">
        <v>5</v>
      </c>
      <c r="B7" s="2" t="s">
        <v>1818</v>
      </c>
      <c r="C7" s="2" t="s">
        <v>322</v>
      </c>
      <c r="D7" s="2" t="s">
        <v>1815</v>
      </c>
      <c r="E7" s="2">
        <v>2</v>
      </c>
      <c r="F7" s="11">
        <f>17283*2*0.15</f>
        <v>5184.9</v>
      </c>
      <c r="G7" s="11">
        <f>17283*2/8</f>
        <v>4320.75</v>
      </c>
      <c r="H7" s="2"/>
      <c r="I7" s="2" t="s">
        <v>671</v>
      </c>
    </row>
    <row r="8" ht="20.25" customHeight="1" spans="1:9">
      <c r="A8" s="2">
        <v>6</v>
      </c>
      <c r="B8" s="2" t="s">
        <v>1818</v>
      </c>
      <c r="C8" s="2" t="s">
        <v>13</v>
      </c>
      <c r="D8" s="2" t="s">
        <v>1815</v>
      </c>
      <c r="E8" s="2">
        <v>2</v>
      </c>
      <c r="F8" s="11">
        <f>17283*2*0.15</f>
        <v>5184.9</v>
      </c>
      <c r="G8" s="11">
        <f>17283*2/8</f>
        <v>4320.75</v>
      </c>
      <c r="H8" s="2"/>
      <c r="I8" s="2" t="s">
        <v>671</v>
      </c>
    </row>
    <row r="9" ht="20.25" customHeight="1" spans="1:9">
      <c r="A9" s="12" t="s">
        <v>1819</v>
      </c>
      <c r="B9" s="12"/>
      <c r="C9" s="12"/>
      <c r="D9" s="12"/>
      <c r="E9" s="12"/>
      <c r="F9" s="12">
        <f>SUM(F3:F8)</f>
        <v>56892</v>
      </c>
      <c r="G9" s="11">
        <f>SUM(G3:G8)</f>
        <v>47410</v>
      </c>
      <c r="H9" s="2"/>
      <c r="I9" s="2"/>
    </row>
    <row r="10" ht="20.25" customHeight="1" spans="1:9">
      <c r="A10" s="9" t="s">
        <v>1820</v>
      </c>
      <c r="B10" s="9"/>
      <c r="C10" s="9"/>
      <c r="D10" s="9"/>
      <c r="E10" s="9"/>
      <c r="F10" s="9"/>
      <c r="G10" s="9"/>
      <c r="H10" s="9"/>
      <c r="I10" s="9"/>
    </row>
    <row r="11" ht="63" customHeight="1" spans="1:9">
      <c r="A11" s="10" t="s">
        <v>1821</v>
      </c>
      <c r="B11" s="10"/>
      <c r="C11" s="10"/>
      <c r="D11" s="10"/>
      <c r="E11" s="10"/>
      <c r="F11" s="10"/>
      <c r="G11" s="10"/>
      <c r="H11" s="10"/>
      <c r="I11" s="10"/>
    </row>
    <row r="12" spans="1:9">
      <c r="A12" s="13"/>
      <c r="B12" s="13"/>
      <c r="C12" s="13"/>
      <c r="D12" s="13"/>
      <c r="E12" s="13"/>
      <c r="F12" s="13"/>
      <c r="G12" s="13"/>
      <c r="H12" s="13"/>
      <c r="I12" s="13"/>
    </row>
    <row r="13" ht="30.75" customHeight="1" spans="1:9">
      <c r="A13" s="13"/>
      <c r="B13" s="13"/>
      <c r="C13" s="13"/>
      <c r="D13" s="13"/>
      <c r="E13" s="13"/>
      <c r="F13" s="13"/>
      <c r="G13" s="13"/>
      <c r="H13" s="13"/>
      <c r="I13" s="13"/>
    </row>
    <row r="14" ht="21" customHeight="1" spans="1:9">
      <c r="A14" s="13"/>
      <c r="B14" s="14"/>
      <c r="C14" s="13"/>
      <c r="D14" s="13"/>
      <c r="E14" s="13"/>
      <c r="F14" s="13"/>
      <c r="G14" s="13"/>
      <c r="H14" s="13"/>
      <c r="I14" s="13"/>
    </row>
    <row r="15" ht="21" customHeight="1" spans="1:9">
      <c r="A15" s="13"/>
      <c r="B15" s="13"/>
      <c r="C15" s="13"/>
      <c r="D15" s="13"/>
      <c r="E15" s="13"/>
      <c r="F15" s="13"/>
      <c r="G15" s="13"/>
      <c r="H15" s="13"/>
      <c r="I15" s="13"/>
    </row>
    <row r="16" ht="21" customHeight="1" spans="1:9">
      <c r="A16" s="13"/>
      <c r="B16" s="13"/>
      <c r="C16" s="13"/>
      <c r="D16" s="13"/>
      <c r="E16" s="13"/>
      <c r="F16" s="13"/>
      <c r="G16" s="13"/>
      <c r="H16" s="13"/>
      <c r="I16" s="13"/>
    </row>
    <row r="17" ht="21" customHeight="1" spans="1:9">
      <c r="A17" s="15"/>
      <c r="B17" s="13"/>
      <c r="C17" s="13"/>
      <c r="D17" s="13"/>
      <c r="E17" s="13"/>
      <c r="F17" s="13"/>
      <c r="G17" s="13"/>
      <c r="H17" s="13"/>
      <c r="I17" s="13"/>
    </row>
    <row r="18" ht="21" customHeight="1" spans="1:9">
      <c r="A18" s="13"/>
      <c r="B18" s="13"/>
      <c r="C18" s="13"/>
      <c r="D18" s="13"/>
      <c r="E18" s="13"/>
      <c r="F18" s="13"/>
      <c r="G18" s="13"/>
      <c r="H18" s="13"/>
      <c r="I18" s="13"/>
    </row>
    <row r="19" ht="21" customHeight="1" spans="1:9">
      <c r="A19" s="15"/>
      <c r="B19" s="13"/>
      <c r="C19" s="13"/>
      <c r="D19" s="13"/>
      <c r="E19" s="13"/>
      <c r="F19" s="13"/>
      <c r="G19" s="13"/>
      <c r="H19" s="13"/>
      <c r="I19" s="13"/>
    </row>
    <row r="20" ht="21" customHeight="1" spans="1:9">
      <c r="A20" s="13"/>
      <c r="B20" s="13"/>
      <c r="C20" s="13"/>
      <c r="D20" s="13"/>
      <c r="E20" s="13"/>
      <c r="F20" s="13"/>
      <c r="G20" s="13"/>
      <c r="H20" s="13"/>
      <c r="I20" s="13"/>
    </row>
    <row r="21" ht="21" customHeight="1" spans="1:9">
      <c r="A21" s="15"/>
      <c r="B21" s="13"/>
      <c r="C21" s="13"/>
      <c r="D21" s="13"/>
      <c r="E21" s="13"/>
      <c r="F21" s="13"/>
      <c r="G21" s="13"/>
      <c r="H21" s="13"/>
      <c r="I21" s="13"/>
    </row>
    <row r="22" ht="21" customHeight="1" spans="1:9">
      <c r="A22" s="13"/>
      <c r="B22" s="13"/>
      <c r="C22" s="13"/>
      <c r="D22" s="13"/>
      <c r="E22" s="13"/>
      <c r="F22" s="13"/>
      <c r="G22" s="13"/>
      <c r="H22" s="13"/>
      <c r="I22" s="13"/>
    </row>
    <row r="23" ht="21" customHeight="1" spans="1:9">
      <c r="A23" s="13"/>
      <c r="B23" s="13"/>
      <c r="C23" s="13"/>
      <c r="D23" s="13"/>
      <c r="E23" s="13"/>
      <c r="F23" s="13"/>
      <c r="G23" s="13"/>
      <c r="H23" s="13"/>
      <c r="I23" s="13"/>
    </row>
    <row r="24" ht="21" customHeight="1" spans="1:9">
      <c r="A24" s="13"/>
      <c r="B24" s="13"/>
      <c r="C24" s="13"/>
      <c r="D24" s="13"/>
      <c r="E24" s="13"/>
      <c r="F24" s="13"/>
      <c r="G24" s="13"/>
      <c r="H24" s="13"/>
      <c r="I24" s="13"/>
    </row>
    <row r="25" ht="21" customHeight="1" spans="1:9">
      <c r="A25" s="13"/>
      <c r="B25" s="13"/>
      <c r="C25" s="13"/>
      <c r="D25" s="13"/>
      <c r="E25" s="13"/>
      <c r="F25" s="13"/>
      <c r="G25" s="13"/>
      <c r="H25" s="13"/>
      <c r="I25" s="13"/>
    </row>
    <row r="26" ht="21" customHeight="1" spans="1:9">
      <c r="A26" s="13"/>
      <c r="B26" s="13"/>
      <c r="C26" s="13"/>
      <c r="D26" s="13"/>
      <c r="E26" s="13"/>
      <c r="F26" s="13"/>
      <c r="G26" s="13"/>
      <c r="H26" s="13"/>
      <c r="I26" s="13"/>
    </row>
    <row r="27" ht="21" customHeight="1" spans="1:9">
      <c r="A27" s="13"/>
      <c r="B27" s="13"/>
      <c r="C27" s="13"/>
      <c r="D27" s="13"/>
      <c r="E27" s="13"/>
      <c r="F27" s="13"/>
      <c r="G27" s="13"/>
      <c r="H27" s="13"/>
      <c r="I27" s="13"/>
    </row>
    <row r="28" ht="21" customHeight="1" spans="1:9">
      <c r="A28" s="13"/>
      <c r="B28" s="13"/>
      <c r="C28" s="13"/>
      <c r="D28" s="13"/>
      <c r="E28" s="13"/>
      <c r="F28" s="13"/>
      <c r="G28" s="13"/>
      <c r="H28" s="13"/>
      <c r="I28" s="13"/>
    </row>
    <row r="29" ht="21" customHeight="1" spans="1:9">
      <c r="A29" s="15"/>
      <c r="B29" s="15"/>
      <c r="C29" s="15"/>
      <c r="D29" s="15"/>
      <c r="E29" s="15"/>
      <c r="F29" s="15"/>
      <c r="G29" s="13"/>
      <c r="H29" s="13"/>
      <c r="I29" s="13"/>
    </row>
    <row r="30" ht="21" customHeight="1" spans="1:9">
      <c r="A30" s="16"/>
      <c r="B30" s="16"/>
      <c r="C30" s="16"/>
      <c r="D30" s="16"/>
      <c r="E30" s="16"/>
      <c r="F30" s="16"/>
      <c r="G30" s="16"/>
      <c r="H30" s="16"/>
      <c r="I30" s="16"/>
    </row>
    <row r="31" ht="50.25" customHeight="1" spans="1:9">
      <c r="A31" s="10"/>
      <c r="B31" s="10"/>
      <c r="C31" s="10"/>
      <c r="D31" s="10"/>
      <c r="E31" s="10"/>
      <c r="F31" s="10"/>
      <c r="G31" s="10"/>
      <c r="H31" s="10"/>
      <c r="I31" s="10"/>
    </row>
  </sheetData>
  <mergeCells count="24">
    <mergeCell ref="A9:E9"/>
    <mergeCell ref="A10:I10"/>
    <mergeCell ref="A11:I11"/>
    <mergeCell ref="A29:E29"/>
    <mergeCell ref="A30:I30"/>
    <mergeCell ref="A31:I31"/>
    <mergeCell ref="A1:A2"/>
    <mergeCell ref="A12:A13"/>
    <mergeCell ref="B1:B2"/>
    <mergeCell ref="B12:B13"/>
    <mergeCell ref="C1:C2"/>
    <mergeCell ref="C12:C13"/>
    <mergeCell ref="D1:D2"/>
    <mergeCell ref="D12:D13"/>
    <mergeCell ref="E1:E2"/>
    <mergeCell ref="E12:E13"/>
    <mergeCell ref="F1:F2"/>
    <mergeCell ref="F12:F13"/>
    <mergeCell ref="G1:G2"/>
    <mergeCell ref="G12:G13"/>
    <mergeCell ref="H1:H2"/>
    <mergeCell ref="H12:H13"/>
    <mergeCell ref="I1:I2"/>
    <mergeCell ref="I12:I13"/>
  </mergeCells>
  <pageMargins left="0.708661417322835" right="0.708661417322835" top="0.37" bottom="0.37" header="0.31496062992126" footer="0.31496062992126"/>
  <pageSetup paperSize="9" orientation="landscape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85" zoomScaleNormal="85" workbookViewId="0">
      <selection activeCell="D7" sqref="D7"/>
    </sheetView>
  </sheetViews>
  <sheetFormatPr defaultColWidth="9" defaultRowHeight="14" outlineLevelCol="7"/>
  <cols>
    <col min="1" max="1" width="3.62727272727273" customWidth="1"/>
    <col min="2" max="2" width="17.3727272727273" customWidth="1"/>
    <col min="3" max="6" width="12.6272727272727" customWidth="1"/>
    <col min="7" max="7" width="20.5" customWidth="1"/>
    <col min="8" max="8" width="42.2545454545455" customWidth="1"/>
  </cols>
  <sheetData>
    <row r="1" ht="42.75" customHeight="1" spans="1:8">
      <c r="A1" s="1" t="s">
        <v>0</v>
      </c>
      <c r="B1" s="2" t="s">
        <v>741</v>
      </c>
      <c r="C1" s="2" t="s">
        <v>1295</v>
      </c>
      <c r="D1" s="2" t="s">
        <v>1822</v>
      </c>
      <c r="E1" s="2" t="s">
        <v>1823</v>
      </c>
      <c r="F1" s="2" t="s">
        <v>1824</v>
      </c>
      <c r="G1" s="2" t="s">
        <v>9</v>
      </c>
      <c r="H1" s="2" t="s">
        <v>748</v>
      </c>
    </row>
    <row r="2" ht="18.75" customHeight="1" spans="1:8">
      <c r="A2" s="2">
        <v>1</v>
      </c>
      <c r="B2" s="3" t="s">
        <v>1814</v>
      </c>
      <c r="C2" s="2" t="s">
        <v>322</v>
      </c>
      <c r="D2" s="2" t="s">
        <v>173</v>
      </c>
      <c r="E2" s="2" t="s">
        <v>1825</v>
      </c>
      <c r="F2" s="2">
        <f>679*2</f>
        <v>1358</v>
      </c>
      <c r="G2" s="4">
        <v>37963</v>
      </c>
      <c r="H2" s="5" t="s">
        <v>1826</v>
      </c>
    </row>
    <row r="3" ht="18.75" customHeight="1" spans="1:8">
      <c r="A3" s="2">
        <v>2</v>
      </c>
      <c r="B3" s="3" t="s">
        <v>1814</v>
      </c>
      <c r="C3" s="2" t="s">
        <v>13</v>
      </c>
      <c r="D3" s="2" t="s">
        <v>173</v>
      </c>
      <c r="E3" s="2" t="s">
        <v>1825</v>
      </c>
      <c r="F3" s="2">
        <f>679*2</f>
        <v>1358</v>
      </c>
      <c r="G3" s="4">
        <v>37963</v>
      </c>
      <c r="H3" s="5" t="s">
        <v>1826</v>
      </c>
    </row>
    <row r="4" ht="18.75" customHeight="1" spans="1:8">
      <c r="A4" s="2">
        <v>3</v>
      </c>
      <c r="B4" s="2" t="s">
        <v>1816</v>
      </c>
      <c r="C4" s="2" t="s">
        <v>322</v>
      </c>
      <c r="D4" s="2" t="s">
        <v>173</v>
      </c>
      <c r="E4" s="2" t="s">
        <v>1825</v>
      </c>
      <c r="F4" s="2">
        <f>18*2</f>
        <v>36</v>
      </c>
      <c r="G4" s="4">
        <v>37963</v>
      </c>
      <c r="H4" s="5" t="s">
        <v>1826</v>
      </c>
    </row>
    <row r="5" ht="18.75" customHeight="1" spans="1:8">
      <c r="A5" s="2">
        <v>4</v>
      </c>
      <c r="B5" s="2" t="s">
        <v>1816</v>
      </c>
      <c r="C5" s="2" t="s">
        <v>13</v>
      </c>
      <c r="D5" s="2" t="s">
        <v>173</v>
      </c>
      <c r="E5" s="2" t="s">
        <v>1825</v>
      </c>
      <c r="F5" s="2">
        <f>18*2</f>
        <v>36</v>
      </c>
      <c r="G5" s="4">
        <v>37963</v>
      </c>
      <c r="H5" s="5" t="s">
        <v>1826</v>
      </c>
    </row>
    <row r="6" ht="18.75" customHeight="1" spans="1:8">
      <c r="A6" s="2">
        <v>5</v>
      </c>
      <c r="B6" s="2" t="s">
        <v>1818</v>
      </c>
      <c r="C6" s="2" t="s">
        <v>322</v>
      </c>
      <c r="D6" s="2" t="s">
        <v>173</v>
      </c>
      <c r="E6" s="2" t="s">
        <v>1825</v>
      </c>
      <c r="F6" s="2">
        <f>155*2</f>
        <v>310</v>
      </c>
      <c r="G6" s="4">
        <v>37963</v>
      </c>
      <c r="H6" s="5" t="s">
        <v>1826</v>
      </c>
    </row>
    <row r="7" ht="18.75" customHeight="1" spans="1:8">
      <c r="A7" s="2">
        <v>6</v>
      </c>
      <c r="B7" s="2" t="s">
        <v>1818</v>
      </c>
      <c r="C7" s="2" t="s">
        <v>13</v>
      </c>
      <c r="D7" s="2" t="s">
        <v>173</v>
      </c>
      <c r="E7" s="2" t="s">
        <v>1825</v>
      </c>
      <c r="F7" s="2">
        <f>155*2</f>
        <v>310</v>
      </c>
      <c r="G7" s="4">
        <v>37963</v>
      </c>
      <c r="H7" s="5" t="s">
        <v>1826</v>
      </c>
    </row>
    <row r="8" ht="18.75" customHeight="1" spans="1:8">
      <c r="A8" s="6" t="s">
        <v>1819</v>
      </c>
      <c r="B8" s="7"/>
      <c r="C8" s="7"/>
      <c r="D8" s="7"/>
      <c r="E8" s="8"/>
      <c r="F8" s="2">
        <f>SUM(F2:F7)</f>
        <v>3408</v>
      </c>
      <c r="G8" s="2"/>
      <c r="H8" s="2"/>
    </row>
    <row r="9" ht="18.75" customHeight="1" spans="1:8">
      <c r="A9" s="9" t="s">
        <v>1820</v>
      </c>
      <c r="B9" s="9"/>
      <c r="C9" s="9"/>
      <c r="D9" s="9"/>
      <c r="E9" s="9"/>
      <c r="F9" s="9"/>
      <c r="G9" s="9"/>
      <c r="H9" s="9"/>
    </row>
    <row r="10" ht="33" customHeight="1" spans="1:8">
      <c r="A10" s="10" t="s">
        <v>1827</v>
      </c>
      <c r="B10" s="10"/>
      <c r="C10" s="10"/>
      <c r="D10" s="10"/>
      <c r="E10" s="10"/>
      <c r="F10" s="10"/>
      <c r="G10" s="10"/>
      <c r="H10" s="10"/>
    </row>
  </sheetData>
  <mergeCells count="3">
    <mergeCell ref="A8:E8"/>
    <mergeCell ref="A9:H9"/>
    <mergeCell ref="A10:H10"/>
  </mergeCells>
  <pageMargins left="0.64" right="0.708661417322835" top="0.38" bottom="0.37" header="0.31496062992126" footer="0.31496062992126"/>
  <pageSetup paperSize="9" orientation="landscape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交通标志（表1）</vt:lpstr>
      <vt:lpstr>路基中分带护栏-波形护栏（表2）</vt:lpstr>
      <vt:lpstr>桥梁护栏（表3）</vt:lpstr>
      <vt:lpstr>防眩设施（表4)</vt:lpstr>
      <vt:lpstr>隔离栅和桥梁护网（表5）</vt:lpstr>
      <vt:lpstr>混凝土护栏（表6）</vt:lpstr>
      <vt:lpstr>交通标线（表7）</vt:lpstr>
      <vt:lpstr>轮廓标、里程牌、百米桩（表8）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卢宇</cp:lastModifiedBy>
  <dcterms:created xsi:type="dcterms:W3CDTF">2010-03-24T06:00:00Z</dcterms:created>
  <cp:lastPrinted>2023-01-29T03:42:00Z</cp:lastPrinted>
  <dcterms:modified xsi:type="dcterms:W3CDTF">2026-05-29T02:19:26Z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CD41FC0FE16E4B239E64538C4559D1EB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